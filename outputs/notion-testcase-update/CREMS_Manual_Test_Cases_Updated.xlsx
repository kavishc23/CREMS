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Users/ShoneelKumar/Documents/GitHub/CREMS/output/documents/"/>
    </mc:Choice>
  </mc:AlternateContent>
  <xr:revisionPtr revIDLastSave="0" documentId="8_{5E16EC22-1031-4727-A0B9-48FD51DCE369}" xr6:coauthVersionLast="47" xr6:coauthVersionMax="47" xr10:uidLastSave="{00000000-0000-0000-0000-000000000000}"/>
  <bookViews>
    <workbookView xWindow="0" yWindow="0" windowWidth="33600" windowHeight="21000" firstSheet="1" activeTab="1" xr2:uid="{00000000-000D-0000-FFFF-FFFF00000000}"/>
  </bookViews>
  <sheets>
    <sheet name="Summary" sheetId="1" r:id="rId1"/>
    <sheet name="Test Cas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B7" i="1"/>
  <c r="E6" i="1"/>
  <c r="B6" i="1"/>
  <c r="E5" i="1"/>
  <c r="B5" i="1"/>
</calcChain>
</file>

<file path=xl/sharedStrings.xml><?xml version="1.0" encoding="utf-8"?>
<sst xmlns="http://schemas.openxmlformats.org/spreadsheetml/2006/main" count="2102" uniqueCount="1339">
  <si>
    <t>CREMS Manual Testing Summary</t>
  </si>
  <si>
    <t>Maintainable test register for demo and practical assessment. Update the Pass/Fail, Comments, Tested By, Test Date, Defect ID and Evidence columns on the Test Cases sheet.</t>
  </si>
  <si>
    <t>Execution status</t>
  </si>
  <si>
    <t>Count</t>
  </si>
  <si>
    <t>Requirement coverage</t>
  </si>
  <si>
    <t>Total test cases</t>
  </si>
  <si>
    <t>Functional</t>
  </si>
  <si>
    <t>Passed</t>
  </si>
  <si>
    <t>Non-functional</t>
  </si>
  <si>
    <t>Failed</t>
  </si>
  <si>
    <t>Not executed</t>
  </si>
  <si>
    <t>Module / area</t>
  </si>
  <si>
    <t>Test cases</t>
  </si>
  <si>
    <t>Testing guidance</t>
  </si>
  <si>
    <t>Environment and startup</t>
  </si>
  <si>
    <t>1. Execute each case using the stated steps.
2. Select Pass or Fail only after checking the expected result.
3. Record tester name and date for traceability.
4. For failures, add the defect ID, evidence reference and a clear comment.
5. Filter by module, requirement type, test type, result or tester during reviews.
6. Re-test failed cases after fixes and update the row with the latest outcome.</t>
  </si>
  <si>
    <t>Authentication and sessions</t>
  </si>
  <si>
    <t>Roles and access control</t>
  </si>
  <si>
    <t>Dashboards and alerts</t>
  </si>
  <si>
    <t>Organization and branches</t>
  </si>
  <si>
    <t>Configuration and administration</t>
  </si>
  <si>
    <t>Customer management</t>
  </si>
  <si>
    <t>Customer portal</t>
  </si>
  <si>
    <t>Asset register</t>
  </si>
  <si>
    <t>Availability, rates and quotations</t>
  </si>
  <si>
    <t>Bookings, approvals and agreements</t>
  </si>
  <si>
    <t>Pickups, returns and inspections</t>
  </si>
  <si>
    <t>Maintenance, damage and expenditure</t>
  </si>
  <si>
    <t>Operations management</t>
  </si>
  <si>
    <t>Finance</t>
  </si>
  <si>
    <t>Reports and performance</t>
  </si>
  <si>
    <t>Security and audit</t>
  </si>
  <si>
    <t>System-wide non-functional requirements</t>
  </si>
  <si>
    <t>End-to-end and UAT</t>
  </si>
  <si>
    <t>CREMS Manual Test Case Register</t>
  </si>
  <si>
    <t>Use the filters to review test coverage. Yellow columns are maintained by testers. Pass/Fail is intentionally blank until each test is executed.</t>
  </si>
  <si>
    <t>Requirement types: Functional tests verify features and workflows. Non-functional tests verify security, performance, usability, reliability, accessibility and compatibility.</t>
  </si>
  <si>
    <t>Test Case ID</t>
  </si>
  <si>
    <t>Section / Module</t>
  </si>
  <si>
    <t>Feature</t>
  </si>
  <si>
    <t>Requirement Type</t>
  </si>
  <si>
    <t>Test Type</t>
  </si>
  <si>
    <t>Test Case Description</t>
  </si>
  <si>
    <t>Manual Steps</t>
  </si>
  <si>
    <t>Expected Result</t>
  </si>
  <si>
    <t>Pass/Fail</t>
  </si>
  <si>
    <t>Comments</t>
  </si>
  <si>
    <t>Tested By</t>
  </si>
  <si>
    <t>Test Date</t>
  </si>
  <si>
    <t>Defect ID</t>
  </si>
  <si>
    <t>Evidence Reference</t>
  </si>
  <si>
    <t>ENV-001</t>
  </si>
  <si>
    <t>Application startup</t>
  </si>
  <si>
    <t>Smoke</t>
  </si>
  <si>
    <t>Start the API and web application with the configured SQL Server database.</t>
  </si>
  <si>
    <t>Open the public site, staff login, and API health endpoint.</t>
  </si>
  <si>
    <t>All surfaces load without startup errors; health reports healthy; no secrets appear in messages.</t>
  </si>
  <si>
    <t>Pass</t>
  </si>
  <si>
    <t>All startup is okay</t>
  </si>
  <si>
    <t>Shoneel</t>
  </si>
  <si>
    <t>ENV-002</t>
  </si>
  <si>
    <t>Database migration</t>
  </si>
  <si>
    <t>Installation</t>
  </si>
  <si>
    <t>Start against a new empty test database.</t>
  </si>
  <si>
    <t>Apply migrations and run the application bootstrap.</t>
  </si>
  <si>
    <t>Schema, roles, defaults, and configured administrator are created once without duplicate seed data.</t>
  </si>
  <si>
    <t>ENV-003</t>
  </si>
  <si>
    <t>Browser support</t>
  </si>
  <si>
    <t>Compatibility</t>
  </si>
  <si>
    <t>Run the main workflow in current Chrome or Edge.</t>
  </si>
  <si>
    <t>Log in; open dashboard, register, bookings, and reports.</t>
  </si>
  <si>
    <t>Pages render and controls work without browser-specific failure.</t>
  </si>
  <si>
    <t>ENV-004</t>
  </si>
  <si>
    <t>Responsive layout</t>
  </si>
  <si>
    <t>Usability</t>
  </si>
  <si>
    <t>Check desktop, tablet, and phone widths.</t>
  </si>
  <si>
    <t>Resize each main page; open dialogs, menus, and tables.</t>
  </si>
  <si>
    <t>No blocked controls, clipped dialogs, unintended horizontal page jump, or unreadable content.</t>
  </si>
  <si>
    <t>ENV-005</t>
  </si>
  <si>
    <t>Navigation persistence</t>
  </si>
  <si>
    <t>Navigation</t>
  </si>
  <si>
    <t>Refresh a protected staff route.</t>
  </si>
  <si>
    <t>Open a permitted module directly, refresh, then use Back and Forward.</t>
  </si>
  <si>
    <t>The route remains valid, session is restored, and browser navigation shows the correct module.</t>
  </si>
  <si>
    <t>ENV-006</t>
  </si>
  <si>
    <t>API failure presentation</t>
  </si>
  <si>
    <t>Recovery</t>
  </si>
  <si>
    <t>Simulate the API being unavailable.</t>
  </si>
  <si>
    <t>Open a data page and retry after the API returns.</t>
  </si>
  <si>
    <t>A clear non-technical error appears; input is not silently lost; retry succeeds without duplicate writes.</t>
  </si>
  <si>
    <t>ENV-007</t>
  </si>
  <si>
    <t>Date and time</t>
  </si>
  <si>
    <t>Boundary</t>
  </si>
  <si>
    <t>Verify Fiji date/time display around midnight and date filters.</t>
  </si>
  <si>
    <t>Create a timestamped record and filter it for the same Fiji calendar date.</t>
  </si>
  <si>
    <t>Stored UTC time is displayed and filtered using the correct Fiji date.</t>
  </si>
  <si>
    <t>ENV-008</t>
  </si>
  <si>
    <t>Seed data safety</t>
  </si>
  <si>
    <t>Security</t>
  </si>
  <si>
    <t>Review demo data and visible configuration.</t>
  </si>
  <si>
    <t>Search customers, agreements, emails, and settings for real credentials or personal data.</t>
  </si>
  <si>
    <t>Only approved fictional test data is present; credentials and connection strings are not exposed.</t>
  </si>
  <si>
    <t>AUTH-001</t>
  </si>
  <si>
    <t>Staff login</t>
  </si>
  <si>
    <t>Sign in with a valid active staff account.</t>
  </si>
  <si>
    <t>Enter correct email and password and submit.</t>
  </si>
  <si>
    <t>The correct role, division, and branch session opens and a login audit event is recorded.</t>
  </si>
  <si>
    <t>AUTH-002</t>
  </si>
  <si>
    <t>Invalid password</t>
  </si>
  <si>
    <t>Negative</t>
  </si>
  <si>
    <t>Attempt staff login with an incorrect password.</t>
  </si>
  <si>
    <t>Submit valid email with wrong password.</t>
  </si>
  <si>
    <t>Login is rejected with a generic message and no account details are disclosed.</t>
  </si>
  <si>
    <t>Access is denied but comment shows username or email is incorrect, should it show any other message apart from that.</t>
  </si>
  <si>
    <t>AUTH-003</t>
  </si>
  <si>
    <t>Inactive or locked account</t>
  </si>
  <si>
    <t>Attempt login using an inactive or locked staff account.</t>
  </si>
  <si>
    <t>Submit otherwise correct credentials.</t>
  </si>
  <si>
    <t>Access is denied and the event is available to authorized administrators.</t>
  </si>
  <si>
    <t>AUTH-004</t>
  </si>
  <si>
    <t>MFA challenge</t>
  </si>
  <si>
    <t>Complete login for an account requiring MFA.</t>
  </si>
  <si>
    <t>Enter credentials, then the valid verification code.</t>
  </si>
  <si>
    <t>No staff data is available before verification; successful verification creates the session.</t>
  </si>
  <si>
    <t>AUTH-005</t>
  </si>
  <si>
    <t>MFA invalid and resend</t>
  </si>
  <si>
    <t>Use an invalid MFA code, then request a resend.</t>
  </si>
  <si>
    <t>Submit invalid code; resend; submit the replacement valid code.</t>
  </si>
  <si>
    <t>Invalid code is rejected; resend is rate-safe; the latest valid code completes sign-in.</t>
  </si>
  <si>
    <t>AUTH-006</t>
  </si>
  <si>
    <t>Forced password change</t>
  </si>
  <si>
    <t>Sign in with a temporary password.</t>
  </si>
  <si>
    <t>Attempt navigation, then set a compliant new password.</t>
  </si>
  <si>
    <t>Only the change-password page is available until success; normal access resumes afterward.</t>
  </si>
  <si>
    <t>AUTH-007</t>
  </si>
  <si>
    <t>Password policy</t>
  </si>
  <si>
    <t>Validation</t>
  </si>
  <si>
    <t>Try weak, mismatched, and reused password values.</t>
  </si>
  <si>
    <t>Submit each invalid combination, then a compliant password.</t>
  </si>
  <si>
    <t>Invalid values show specific validation without changing the password; compliant value succeeds.</t>
  </si>
  <si>
    <t>AUTH-008</t>
  </si>
  <si>
    <t>Password recovery</t>
  </si>
  <si>
    <t>Request and complete a staff password reset.</t>
  </si>
  <si>
    <t>Request for a known account, use the token once, then try to reuse it.</t>
  </si>
  <si>
    <t>Response does not disclose account existence; valid token resets once; reuse/expired token fails.</t>
  </si>
  <si>
    <t>AUTH-009</t>
  </si>
  <si>
    <t>Window binding</t>
  </si>
  <si>
    <t>Reuse the authenticated cookie in a second browser window identity.</t>
  </si>
  <si>
    <t>Copy/open session in another window, then sign in there.</t>
  </si>
  <si>
    <t>Shared cookie is rejected; a new login transfers the active session to the new window.</t>
  </si>
  <si>
    <t>AUTH-010</t>
  </si>
  <si>
    <t>Idle timeout</t>
  </si>
  <si>
    <t>Timeout</t>
  </si>
  <si>
    <t>Leave an authenticated session idle for the configured period.</t>
  </si>
  <si>
    <t>Wait beyond the idle limit, then perform an action.</t>
  </si>
  <si>
    <t>The request is rejected and the UI returns to login without exposing protected data.</t>
  </si>
  <si>
    <t>AUTH-011</t>
  </si>
  <si>
    <t>Absolute session limit</t>
  </si>
  <si>
    <t>Keep activity going beyond the absolute session duration.</t>
  </si>
  <si>
    <t>Perform periodic safe reads, then act after the absolute limit.</t>
  </si>
  <si>
    <t>The session expires even though it was active and requires a new login.</t>
  </si>
  <si>
    <t>AUTH-012</t>
  </si>
  <si>
    <t>Logout and revocation</t>
  </si>
  <si>
    <t>Log out and test the previous session.</t>
  </si>
  <si>
    <t>Log out, use Back, and retry a protected URL/API call.</t>
  </si>
  <si>
    <t>Protected data is not shown and the revoked session cannot be reused.</t>
  </si>
  <si>
    <t>AUTH-013</t>
  </si>
  <si>
    <t>Rate limiting</t>
  </si>
  <si>
    <t>Performance</t>
  </si>
  <si>
    <t>Send repeated login or API requests rapidly.</t>
  </si>
  <si>
    <t>Exceed the configured request rate in a test environment.</t>
  </si>
  <si>
    <t>Excess requests are limited predictably; the service remains available afterward.</t>
  </si>
  <si>
    <t>ACCESS-001</t>
  </si>
  <si>
    <t>Role menu</t>
  </si>
  <si>
    <t>Authorization</t>
  </si>
  <si>
    <t>Verify module visibility for every staff role.</t>
  </si>
  <si>
    <t>Sign in as Super Administrator, Administrator, Branch Manager, Rental Officer, and Maintenance Officer.</t>
  </si>
  <si>
    <t>Each role sees only the modules defined for it; hidden modules cannot be opened by direct URL.</t>
  </si>
  <si>
    <t>ACCESS-002</t>
  </si>
  <si>
    <t>Branch isolation</t>
  </si>
  <si>
    <t>Try to read a record from another branch as branch-scoped staff.</t>
  </si>
  <si>
    <t>Open or alter the URL/API identifier for another branch record.</t>
  </si>
  <si>
    <t>The request is forbidden or not found and no cross-branch data is disclosed.</t>
  </si>
  <si>
    <t>ACCESS-003</t>
  </si>
  <si>
    <t>Division isolation</t>
  </si>
  <si>
    <t>Try to access another division as division-scoped staff.</t>
  </si>
  <si>
    <t>Use asset, maintenance, or operation identifiers from another division.</t>
  </si>
  <si>
    <t>No read or write succeeds outside the assigned division.</t>
  </si>
  <si>
    <t>ACCESS-004</t>
  </si>
  <si>
    <t>Group-wide access</t>
  </si>
  <si>
    <t>Verify Administrator group-wide operational access.</t>
  </si>
  <si>
    <t>Search and open records from multiple active divisions and branches.</t>
  </si>
  <si>
    <t>Authorized group-wide records are available with their division and branch clearly identified.</t>
  </si>
  <si>
    <t>ACCESS-005</t>
  </si>
  <si>
    <t>Super Administrator only</t>
  </si>
  <si>
    <t>Attempt organization and system configuration as lower roles.</t>
  </si>
  <si>
    <t>Open direct URLs and call protected actions.</t>
  </si>
  <si>
    <t>Only Super Administrator can configure divisions and system-level settings.</t>
  </si>
  <si>
    <t>ACCESS-006</t>
  </si>
  <si>
    <t>Permission override</t>
  </si>
  <si>
    <t>Remove one granular permission from a role/user.</t>
  </si>
  <si>
    <t>Refresh session and attempt the affected action.</t>
  </si>
  <si>
    <t>The control is unavailable or disabled and the API independently rejects the action.</t>
  </si>
  <si>
    <t>ACCESS-007</t>
  </si>
  <si>
    <t>Scope assignment</t>
  </si>
  <si>
    <t>Assign and remove user branch/division scopes.</t>
  </si>
  <si>
    <t>Save valid scopes, refresh, then remove a scope.</t>
  </si>
  <si>
    <t>Access changes match saved scope and take effect without granting stale access.</t>
  </si>
  <si>
    <t>ACCESS-008</t>
  </si>
  <si>
    <t>Group-wide scope protection</t>
  </si>
  <si>
    <t>Try assigning group-wide scope as a non-Super Administrator.</t>
  </si>
  <si>
    <t>Submit the scope through UI or API.</t>
  </si>
  <si>
    <t>The request is rejected and current scopes remain unchanged.</t>
  </si>
  <si>
    <t>ACCESS-009</t>
  </si>
  <si>
    <t>Audit of access change</t>
  </si>
  <si>
    <t>Audit</t>
  </si>
  <si>
    <t>Change a user's role, scope, or permission.</t>
  </si>
  <si>
    <t>Save the change and inspect audit history.</t>
  </si>
  <si>
    <t>Who changed what and when is recorded without exposing secrets.</t>
  </si>
  <si>
    <t>DASH-001</t>
  </si>
  <si>
    <t>Role dashboard</t>
  </si>
  <si>
    <t>Open the dashboard for each staff role.</t>
  </si>
  <si>
    <t>Compare cards, queues, shortcuts, and totals with permitted data.</t>
  </si>
  <si>
    <t>Content is role-appropriate, branch scoped, and links open the expected filtered work area.</t>
  </si>
  <si>
    <t>DASH-002</t>
  </si>
  <si>
    <t>Dashboard totals</t>
  </si>
  <si>
    <t>Calculation</t>
  </si>
  <si>
    <t>Validate dashboard counts against source registers.</t>
  </si>
  <si>
    <t>Count representative assets, bookings, maintenance work, and tasks in source modules.</t>
  </si>
  <si>
    <t>Dashboard figures agree with the same active filters and access scope.</t>
  </si>
  <si>
    <t>DASH-003</t>
  </si>
  <si>
    <t>Global search</t>
  </si>
  <si>
    <t>Search by asset code, customer, booking, and reference.</t>
  </si>
  <si>
    <t>Enter full and partial terms and open each result.</t>
  </si>
  <si>
    <t>Relevant permitted records appear; selection opens the correct module/record.</t>
  </si>
  <si>
    <t>DASH-004</t>
  </si>
  <si>
    <t>Search isolation</t>
  </si>
  <si>
    <t>Search for known records outside the user's branch.</t>
  </si>
  <si>
    <t>Use exact identifiers as branch-scoped staff.</t>
  </si>
  <si>
    <t>Unauthorized results are not returned or inferable.</t>
  </si>
  <si>
    <t>DASH-005</t>
  </si>
  <si>
    <t>Notification bell</t>
  </si>
  <si>
    <t>Receive and read a staff notification.</t>
  </si>
  <si>
    <t>Trigger an approval/task event, open the bell, and mark it read.</t>
  </si>
  <si>
    <t>Unread count updates, message links correctly, and read state persists.</t>
  </si>
  <si>
    <t>DASH-006</t>
  </si>
  <si>
    <t>Notification preferences</t>
  </si>
  <si>
    <t>Save multiple notification preference values and clear them.</t>
  </si>
  <si>
    <t>Toggle channels/events, save, reload, and reset.</t>
  </si>
  <si>
    <t>Distinct values persist accurately and can be cleared without affecting unrelated settings.</t>
  </si>
  <si>
    <t>DASH-007</t>
  </si>
  <si>
    <t>Staff message</t>
  </si>
  <si>
    <t>Compose a permitted staff notification.</t>
  </si>
  <si>
    <t>Select role/user target, enter message, and send.</t>
  </si>
  <si>
    <t>Only eligible recipients receive one notification and an email record follows configuration.</t>
  </si>
  <si>
    <t>DASH-008</t>
  </si>
  <si>
    <t>Duplicate wakeup</t>
  </si>
  <si>
    <t>Integration</t>
  </si>
  <si>
    <t>Reconnect notification polling around a new event.</t>
  </si>
  <si>
    <t>Disconnect/reconnect while an event is created.</t>
  </si>
  <si>
    <t>The event is not missed and is not duplicated in the recipient list.</t>
  </si>
  <si>
    <t>ORG-001</t>
  </si>
  <si>
    <t>Division create</t>
  </si>
  <si>
    <t>Create a division with valid unique code and defaults.</t>
  </si>
  <si>
    <t>Enter name, code, tax rate, and visibility; save.</t>
  </si>
  <si>
    <t>Division is available in permitted organization selectors and audit history.</t>
  </si>
  <si>
    <t>ORG-002</t>
  </si>
  <si>
    <t>Division validation</t>
  </si>
  <si>
    <t>Try blank, duplicate, and malformed division values.</t>
  </si>
  <si>
    <t>Submit each invalid record.</t>
  </si>
  <si>
    <t>Field-level validation prevents save and existing data is unchanged.</t>
  </si>
  <si>
    <t>ORG-003</t>
  </si>
  <si>
    <t>Division service</t>
  </si>
  <si>
    <t>Create and update a division service offering.</t>
  </si>
  <si>
    <t>Set booking/quote behavior, rates, and active state.</t>
  </si>
  <si>
    <t>Public/staff workflows reflect the saved service configuration.</t>
  </si>
  <si>
    <t>ORG-004</t>
  </si>
  <si>
    <t>Branch create</t>
  </si>
  <si>
    <t>Create a branch under an active division.</t>
  </si>
  <si>
    <t>Enter unique code, contact/location details, and save.</t>
  </si>
  <si>
    <t>Branch appears in permitted selectors and inherits intended defaults.</t>
  </si>
  <si>
    <t>ORG-005</t>
  </si>
  <si>
    <t>Branch status</t>
  </si>
  <si>
    <t>Deactivate a branch with historical records.</t>
  </si>
  <si>
    <t>Change status, then check new booking/assignment selectors and old records.</t>
  </si>
  <si>
    <t>New use is blocked while historical records remain readable.</t>
  </si>
  <si>
    <t>ORG-006</t>
  </si>
  <si>
    <t>Business calendar</t>
  </si>
  <si>
    <t>Configure operating days, closures, and hours.</t>
  </si>
  <si>
    <t>Save a normal week plus a closure date and test availability.</t>
  </si>
  <si>
    <t>Planning and booking validation respect the branch calendar.</t>
  </si>
  <si>
    <t>ORG-007</t>
  </si>
  <si>
    <t>Branch services</t>
  </si>
  <si>
    <t>Enable and disable a service for a branch.</t>
  </si>
  <si>
    <t>Save the service list and check staff/public offerings.</t>
  </si>
  <si>
    <t>Only enabled services are selectable for new activity.</t>
  </si>
  <si>
    <t>ORG-008</t>
  </si>
  <si>
    <t>Branch division mapping</t>
  </si>
  <si>
    <t>Assign and remove a valid branch-division relationship.</t>
  </si>
  <si>
    <t>Save mapping and inspect scoped pages.</t>
  </si>
  <si>
    <t>Mapped access and lists update consistently without orphaning history.</t>
  </si>
  <si>
    <t>ORG-009</t>
  </si>
  <si>
    <t>Charge definitions</t>
  </si>
  <si>
    <t>Create and edit a fee/charge definition.</t>
  </si>
  <si>
    <t>Set calculation basis, tax flag, amount, and active state.</t>
  </si>
  <si>
    <t>The charge is available in pricing/return flows and changes do not rewrite historical charges.</t>
  </si>
  <si>
    <t>ORG-010</t>
  </si>
  <si>
    <t>Approval rule configuration</t>
  </si>
  <si>
    <t>Create ordered booking and quotation approval rules.</t>
  </si>
  <si>
    <t>Set conditions, stages, roles, and activation; test matching/nonmatching requests.</t>
  </si>
  <si>
    <t>Scope precedence, order, All/Any logic, duration boundaries, and request type are applied correctly.</t>
  </si>
  <si>
    <t>ORG-011</t>
  </si>
  <si>
    <t>Approval delegation</t>
  </si>
  <si>
    <t>Delegate an approval for a bounded period.</t>
  </si>
  <si>
    <t>Create delegation; test during and outside its dates.</t>
  </si>
  <si>
    <t>Only the delegated interval/user can act and all decisions remain auditable.</t>
  </si>
  <si>
    <t>ORG-012</t>
  </si>
  <si>
    <t>System settings</t>
  </si>
  <si>
    <t>Update an authorized global setting and email template.</t>
  </si>
  <si>
    <t>Save, reload, and trigger a related event.</t>
  </si>
  <si>
    <t>The value/template persists, affects new activity, and creates an audit event.</t>
  </si>
  <si>
    <t>ADMIN-001</t>
  </si>
  <si>
    <t>Staff creation</t>
  </si>
  <si>
    <t>Create a staff account with role and scope.</t>
  </si>
  <si>
    <t>Enter valid unique details and temporary password.</t>
  </si>
  <si>
    <t>User is created once, receives the intended role/scope, and must change password if configured.</t>
  </si>
  <si>
    <t>ADMIN-002</t>
  </si>
  <si>
    <t>Duplicate staff</t>
  </si>
  <si>
    <t>Try creating a staff account with an existing email.</t>
  </si>
  <si>
    <t>Submit the duplicate record.</t>
  </si>
  <si>
    <t>Creation is rejected without duplicate identity or partial scope records.</t>
  </si>
  <si>
    <t>ADMIN-003</t>
  </si>
  <si>
    <t>Edit staff</t>
  </si>
  <si>
    <t>Change name, role, scope, and active status.</t>
  </si>
  <si>
    <t>Save each change and re-authenticate as the user.</t>
  </si>
  <si>
    <t>New identity/access values apply and unrelated fields remain unchanged.</t>
  </si>
  <si>
    <t>ADMIN-004</t>
  </si>
  <si>
    <t>Administrator safeguards</t>
  </si>
  <si>
    <t>Try to demote/disable self or the final active Super Administrator.</t>
  </si>
  <si>
    <t>Submit each prohibited change.</t>
  </si>
  <si>
    <t>The system blocks lockout-causing changes and explains the reason.</t>
  </si>
  <si>
    <t>ADMIN-005</t>
  </si>
  <si>
    <t>Reset password</t>
  </si>
  <si>
    <t>Administrator resets a staff password.</t>
  </si>
  <si>
    <t>Issue reset; sign in with old then temporary password.</t>
  </si>
  <si>
    <t>Old password fails, temporary password works, and forced change is enforced.</t>
  </si>
  <si>
    <t>ADMIN-006</t>
  </si>
  <si>
    <t>Unlock user</t>
  </si>
  <si>
    <t>Unlock a locked staff account.</t>
  </si>
  <si>
    <t>Confirm locked state, perform unlock, and sign in.</t>
  </si>
  <si>
    <t>Lockout clears without altering role/scope and an audit entry is recorded.</t>
  </si>
  <si>
    <t>ADMIN-007</t>
  </si>
  <si>
    <t>Revoke sessions</t>
  </si>
  <si>
    <t>Revoke all sessions for another staff user.</t>
  </si>
  <si>
    <t>Keep that user logged in, revoke, then perform an action.</t>
  </si>
  <si>
    <t>Existing sessions terminate and a fresh login is required.</t>
  </si>
  <si>
    <t>ADMIN-008</t>
  </si>
  <si>
    <t>Staff departure</t>
  </si>
  <si>
    <t>Process user departure.</t>
  </si>
  <si>
    <t>Use the departure action and review assignments, access, and sessions.</t>
  </si>
  <si>
    <t>Account is disabled, sessions revoked, and affected responsibilities are visible for reassignment.</t>
  </si>
  <si>
    <t>ADMIN-009</t>
  </si>
  <si>
    <t>Customer account queue</t>
  </si>
  <si>
    <t>Review registered customer accounts awaiting verification.</t>
  </si>
  <si>
    <t>Filter/open account and verify profile, documents, and status.</t>
  </si>
  <si>
    <t>Queue data is accurate and only authorized administrators can manage access.</t>
  </si>
  <si>
    <t>ADMIN-010</t>
  </si>
  <si>
    <t>Customer security action</t>
  </si>
  <si>
    <t>Reset password, revoke sessions, block, and reactivate a customer account.</t>
  </si>
  <si>
    <t>Perform each action and test the customer session.</t>
  </si>
  <si>
    <t>Each action has the expected immediate effect and is audited.</t>
  </si>
  <si>
    <t>ADMIN-011</t>
  </si>
  <si>
    <t>Administration health</t>
  </si>
  <si>
    <t>Review system health and email delivery queue.</t>
  </si>
  <si>
    <t>Open health, inspect failures, and retry an eligible failed email.</t>
  </si>
  <si>
    <t>Status is current; retry creates a controlled new attempt without duplicate business action.</t>
  </si>
  <si>
    <t>ADMIN-012</t>
  </si>
  <si>
    <t>Audit filtering</t>
  </si>
  <si>
    <t>Filter administration audit by action/date/user.</t>
  </si>
  <si>
    <t>Apply individual and combined filters and open page two.</t>
  </si>
  <si>
    <t>Only matching events appear, pagination is stable, and event data cannot be edited.</t>
  </si>
  <si>
    <t>CUST-001</t>
  </si>
  <si>
    <t>Individual customer</t>
  </si>
  <si>
    <t>Create an individual customer with required contacts.</t>
  </si>
  <si>
    <t>Enter valid details and save.</t>
  </si>
  <si>
    <t>A unique customer record is created and searchable.</t>
  </si>
  <si>
    <t>Rahul</t>
  </si>
  <si>
    <t>22/10/2026</t>
  </si>
  <si>
    <t>CUST-002</t>
  </si>
  <si>
    <t>Corporate customer</t>
  </si>
  <si>
    <t>Create a corporate customer and contacts.</t>
  </si>
  <si>
    <t>Enter company details, primary contact, and billing details.</t>
  </si>
  <si>
    <t>Corporate identity and contacts are retained and available to bookings/finance.</t>
  </si>
  <si>
    <t>Fail</t>
  </si>
  <si>
    <t>22/10/2027</t>
  </si>
  <si>
    <t>CUST-003</t>
  </si>
  <si>
    <t>Customer validation</t>
  </si>
  <si>
    <t>Submit blank required fields, invalid email/phone, and duplicate identity.</t>
  </si>
  <si>
    <t>Try each invalid combination.</t>
  </si>
  <si>
    <t>Clear field errors appear and no partial customer is created.</t>
  </si>
  <si>
    <t>CUST-004</t>
  </si>
  <si>
    <t>Customer edit</t>
  </si>
  <si>
    <t>Update profile and contact details.</t>
  </si>
  <si>
    <t>Change permitted values, save, and reload.</t>
  </si>
  <si>
    <t>New values persist and related historical documents retain their original snapshot values where applicable.</t>
  </si>
  <si>
    <t>CUST-005</t>
  </si>
  <si>
    <t>Customer status</t>
  </si>
  <si>
    <t>Block, deactivate, restore, and activate a customer.</t>
  </si>
  <si>
    <t>Attempt a new booking/login at each status.</t>
  </si>
  <si>
    <t>Blocked/inactive states prevent prohibited activity while history remains visible.</t>
  </si>
  <si>
    <t>CUST-006</t>
  </si>
  <si>
    <t>Customer search</t>
  </si>
  <si>
    <t>Search/filter by name, account type, email, and status.</t>
  </si>
  <si>
    <t>Use exact, partial, and no-match terms.</t>
  </si>
  <si>
    <t>Correct scoped records appear and clearing filters restores the list.</t>
  </si>
  <si>
    <t>CUST-007</t>
  </si>
  <si>
    <t>Online access</t>
  </si>
  <si>
    <t>Enable online access for an existing customer.</t>
  </si>
  <si>
    <t>Create access, complete verification, and log in.</t>
  </si>
  <si>
    <t>The identity links to the correct customer without creating a duplicate profile.</t>
  </si>
  <si>
    <t>CUST-008</t>
  </si>
  <si>
    <t>Licence scan</t>
  </si>
  <si>
    <t>Upload a readable supported driver licence image.</t>
  </si>
  <si>
    <t>Run OCR, review extracted fields, correct if needed, and confirm.</t>
  </si>
  <si>
    <t>Image and confirmed licence fields are securely attached to the intended customer.</t>
  </si>
  <si>
    <t>CUST-009</t>
  </si>
  <si>
    <t>Licence scan failure</t>
  </si>
  <si>
    <t>Upload unreadable, oversized, or unsupported licence content.</t>
  </si>
  <si>
    <t>Try each file and cancel/retry.</t>
  </si>
  <si>
    <t>The system rejects unsafe/invalid input with a recoverable message and no false verification.</t>
  </si>
  <si>
    <t>CUST-010</t>
  </si>
  <si>
    <t>Manual licence</t>
  </si>
  <si>
    <t>Record a licence manually.</t>
  </si>
  <si>
    <t>Enter number, class, issue/expiry dates, and verification status.</t>
  </si>
  <si>
    <t>Dates and fields validate; saved licence appears in readiness checks.</t>
  </si>
  <si>
    <t>CUST-011</t>
  </si>
  <si>
    <t>Expired licence</t>
  </si>
  <si>
    <t>Use an expired or soon-expiring licence for a vehicle rental.</t>
  </si>
  <si>
    <t>Attempt booking confirmation and pickup.</t>
  </si>
  <si>
    <t>The system warns or blocks according to configured verification rules.</t>
  </si>
  <si>
    <t>CUST-012</t>
  </si>
  <si>
    <t>Licence privacy</t>
  </si>
  <si>
    <t>Try viewing/downloading another branch customer's licence.</t>
  </si>
  <si>
    <t>Use a direct document URL/API request.</t>
  </si>
  <si>
    <t>Access is denied; sensitive image data is not leaked.</t>
  </si>
  <si>
    <t>CUST-013</t>
  </si>
  <si>
    <t>Customer activity</t>
  </si>
  <si>
    <t>Open customer activity history.</t>
  </si>
  <si>
    <t>Compare bookings, payments, requests, and security events with source records.</t>
  </si>
  <si>
    <t>Chronology and references are accurate and scoped.</t>
  </si>
  <si>
    <t>PORTAL-001</t>
  </si>
  <si>
    <t>Catalogue browse</t>
  </si>
  <si>
    <t>Browse active public divisions, branches, and assets anonymously.</t>
  </si>
  <si>
    <t>Open landing page and change division/branch/category filters.</t>
  </si>
  <si>
    <t>Only public, active, operational offerings appear with correct photos and summary data.</t>
  </si>
  <si>
    <t>PORTAL-002</t>
  </si>
  <si>
    <t>Catalogue search</t>
  </si>
  <si>
    <t>Search assets by name/code/category and clear filters.</t>
  </si>
  <si>
    <t>Use partial, mixed-case, and no-match terms.</t>
  </si>
  <si>
    <t>Results update correctly and an understandable empty state appears.</t>
  </si>
  <si>
    <t>PORTAL-003</t>
  </si>
  <si>
    <t>Availability dates</t>
  </si>
  <si>
    <t>Search with valid dates and an available asset.</t>
  </si>
  <si>
    <t>Choose branch, start, and end dates.</t>
  </si>
  <si>
    <t>Only nonconflicting assets remain and displayed rates/availability match staff planning.</t>
  </si>
  <si>
    <t>PORTAL-004</t>
  </si>
  <si>
    <t>Invalid public dates</t>
  </si>
  <si>
    <t>Use equal, reversed, past, or unsupported duration dates.</t>
  </si>
  <si>
    <t>Submit each boundary condition.</t>
  </si>
  <si>
    <t>Request is rejected before persistence with a clear validation message.</t>
  </si>
  <si>
    <t>PORTAL-005</t>
  </si>
  <si>
    <t>Private/unavailable assets</t>
  </si>
  <si>
    <t>Request a private division or nonoperational asset directly.</t>
  </si>
  <si>
    <t>Alter URL/API identifiers.</t>
  </si>
  <si>
    <t>The asset is excluded or unavailable without revealing restricted details.</t>
  </si>
  <si>
    <t>PORTAL-006</t>
  </si>
  <si>
    <t>Asset detail</t>
  </si>
  <si>
    <t>Open public asset detail.</t>
  </si>
  <si>
    <t>Review gallery, specifications, rate information, deposit, and availability.</t>
  </si>
  <si>
    <t>Content belongs to the selected asset and broken/missing images have a safe fallback.</t>
  </si>
  <si>
    <t>PORTAL-007</t>
  </si>
  <si>
    <t>Customer registration</t>
  </si>
  <si>
    <t>Register a new customer with valid data.</t>
  </si>
  <si>
    <t>Submit profile and strong password, then activate/verify.</t>
  </si>
  <si>
    <t>One customer identity/profile is created and the customer session opens as designed.</t>
  </si>
  <si>
    <t>PORTAL-008</t>
  </si>
  <si>
    <t>Registration validation</t>
  </si>
  <si>
    <t>Try duplicate email, weak password, malformed fields, and mismatched passwords.</t>
  </si>
  <si>
    <t>Submit each case.</t>
  </si>
  <si>
    <t>No identity/customer/cookie is created and field-level errors are shown.</t>
  </si>
  <si>
    <t>PORTAL-009</t>
  </si>
  <si>
    <t>Customer login</t>
  </si>
  <si>
    <t>Sign in and sign out through the customer portal.</t>
  </si>
  <si>
    <t>Use correct credentials, navigate, sign out, and use Back.</t>
  </si>
  <si>
    <t>Own portal data is shown; sign-out removes access to protected pages.</t>
  </si>
  <si>
    <t>PORTAL-010</t>
  </si>
  <si>
    <t>Public booking request</t>
  </si>
  <si>
    <t>Submit an authenticated request for an available asset/service.</t>
  </si>
  <si>
    <t>Choose dates/options, review quote, and confirm.</t>
  </si>
  <si>
    <t>A reference is created atomically with correct customer, pricing, branch, and pending hold.</t>
  </si>
  <si>
    <t>PORTAL-011</t>
  </si>
  <si>
    <t>Overlap and hold</t>
  </si>
  <si>
    <t>Submit competing requests for the same asset/time.</t>
  </si>
  <si>
    <t>Create one pending request, then a conflicting request; repeat after hold expiry.</t>
  </si>
  <si>
    <t>Active hold prevents overlap; expiry releases availability without duplicate records.</t>
  </si>
  <si>
    <t>PORTAL-012</t>
  </si>
  <si>
    <t>Quote-only service</t>
  </si>
  <si>
    <t>Submit a service configured as quotation only.</t>
  </si>
  <si>
    <t>Complete required fields and confirm.</t>
  </si>
  <si>
    <t>A complete quotation request is created, not a confirmed booking; failure leaves no partial request.</t>
  </si>
  <si>
    <t>PORTAL-013</t>
  </si>
  <si>
    <t>Booking status lookup</t>
  </si>
  <si>
    <t>Look up a valid and invalid public reference.</t>
  </si>
  <si>
    <t>Enter references on status page.</t>
  </si>
  <si>
    <t>Valid progress appears without private data; invalid reference reveals nothing sensitive.</t>
  </si>
  <si>
    <t>PORTAL-014</t>
  </si>
  <si>
    <t>Portal booking isolation</t>
  </si>
  <si>
    <t>Attempt to open another customer's booking, agreement, or document.</t>
  </si>
  <si>
    <t>Change record identifiers in URL/API.</t>
  </si>
  <si>
    <t>Access is denied and no other-customer data is returned.</t>
  </si>
  <si>
    <t>PORTAL-015</t>
  </si>
  <si>
    <t>Portal booking changes</t>
  </si>
  <si>
    <t>Change dates for an eligible draft booking.</t>
  </si>
  <si>
    <t>Save valid new dates, then try invalid/conflicting dates.</t>
  </si>
  <si>
    <t>Eligible change succeeds; invalid change is rejected without mutation; confirmed change routes to review.</t>
  </si>
  <si>
    <t>PORTAL-016</t>
  </si>
  <si>
    <t>Customer requests</t>
  </si>
  <si>
    <t>Submit cancellation, extension, and incident requests.</t>
  </si>
  <si>
    <t>Create each request once and attempt duplicates.</t>
  </si>
  <si>
    <t>Staff queue receives one traceable case per valid request; invalid/duplicate requests are controlled.</t>
  </si>
  <si>
    <t>PORTAL-017</t>
  </si>
  <si>
    <t>Quote decision</t>
  </si>
  <si>
    <t>Accept and reject an eligible customer quote.</t>
  </si>
  <si>
    <t>Perform each decision on separate quotes and retry.</t>
  </si>
  <si>
    <t>Status changes once, staff is notified, and an invalid repeat transition is rejected.</t>
  </si>
  <si>
    <t>PORTAL-018</t>
  </si>
  <si>
    <t>Portal documents</t>
  </si>
  <si>
    <t>Upload, list, download, and validate customer documents.</t>
  </si>
  <si>
    <t>Use valid file then unsafe extension/oversize file.</t>
  </si>
  <si>
    <t>Valid document is private and downloadable; unsafe input is rejected; metadata is accurate.</t>
  </si>
  <si>
    <t>PORTAL-019</t>
  </si>
  <si>
    <t>Portal profile and preferences</t>
  </si>
  <si>
    <t>Update profile and notification preferences.</t>
  </si>
  <si>
    <t>Save multiple values, reload, and clear optional values.</t>
  </si>
  <si>
    <t>Changes persist only for the signed-in customer and are used for later communication.</t>
  </si>
  <si>
    <t>ASSET-001</t>
  </si>
  <si>
    <t>Category create</t>
  </si>
  <si>
    <t>Create an asset category with attributes and defaults.</t>
  </si>
  <si>
    <t>Enter unique name/code, type, deposit/service defaults, and save.</t>
  </si>
  <si>
    <t>Category and dynamic attributes are available for new assets.</t>
  </si>
  <si>
    <t>ASSET-002</t>
  </si>
  <si>
    <t>Category attribute validation</t>
  </si>
  <si>
    <t>Try duplicate keys, invalid data types, and missing required definitions.</t>
  </si>
  <si>
    <t>Save each invalid configuration.</t>
  </si>
  <si>
    <t>Validation prevents an inconsistent schema and preserves the previous definition.</t>
  </si>
  <si>
    <t>ASSET-003</t>
  </si>
  <si>
    <t>Asset create</t>
  </si>
  <si>
    <t>Create a vehicle and an equipment asset.</t>
  </si>
  <si>
    <t>Enter identity, branch/division, category, rates, meters, and attributes.</t>
  </si>
  <si>
    <t>Each asset receives a unique record and correct type-specific fields.</t>
  </si>
  <si>
    <t>ASSET-004</t>
  </si>
  <si>
    <t>Asset uniqueness</t>
  </si>
  <si>
    <t>Try duplicate asset code, registration, or serial number where unique.</t>
  </si>
  <si>
    <t>Submit duplicates.</t>
  </si>
  <si>
    <t>Creation/update is rejected without altering existing assets.</t>
  </si>
  <si>
    <t>ASSET-005</t>
  </si>
  <si>
    <t>Asset edit</t>
  </si>
  <si>
    <t>Edit identity, operational details, and dynamic attributes.</t>
  </si>
  <si>
    <t>Save, reload, and inspect audit history.</t>
  </si>
  <si>
    <t>Values persist, required fields validate, and change is audited.</t>
  </si>
  <si>
    <t>ASSET-006</t>
  </si>
  <si>
    <t>Asset list filtering</t>
  </si>
  <si>
    <t>Filter by search, division, branch, category, status, and availability.</t>
  </si>
  <si>
    <t>Combine filters, paginate, then clear.</t>
  </si>
  <si>
    <t>Results, count, and report scope match filters without skipped/duplicate rows.</t>
  </si>
  <si>
    <t>ASSET-007</t>
  </si>
  <si>
    <t>Asset status transition</t>
  </si>
  <si>
    <t>Move asset through allowed operational statuses.</t>
  </si>
  <si>
    <t>Apply valid transition, then an invalid/unsafe transition.</t>
  </si>
  <si>
    <t>Valid transition updates once; invalid transition is blocked with reason.</t>
  </si>
  <si>
    <t>ASSET-008</t>
  </si>
  <si>
    <t>Photo management</t>
  </si>
  <si>
    <t>Upload and delete asset photos.</t>
  </si>
  <si>
    <t>Use valid images and unsupported/oversized files; set/review primary display.</t>
  </si>
  <si>
    <t>Valid images render in staff/public views; invalid files fail safely; deletion affects only target photo.</t>
  </si>
  <si>
    <t>ASSET-009</t>
  </si>
  <si>
    <t>Meter reading</t>
  </si>
  <si>
    <t>Record odometer/engine-hour reading and fuel level.</t>
  </si>
  <si>
    <t>Enter increasing reading, then lower/negative/extreme value.</t>
  </si>
  <si>
    <t>Valid reading is timestamped and attributed; invalid decrease/value is rejected or explicitly controlled.</t>
  </si>
  <si>
    <t>ASSET-010</t>
  </si>
  <si>
    <t>Asset inspection</t>
  </si>
  <si>
    <t>Complete a configured asset inspection.</t>
  </si>
  <si>
    <t>Fill required section checks, notes, photos, and outcome.</t>
  </si>
  <si>
    <t>Required checks are enforced; result and evidence appear in profile/history.</t>
  </si>
  <si>
    <t>ASSET-011</t>
  </si>
  <si>
    <t>Failed inspection</t>
  </si>
  <si>
    <t>Record a failed safety/damage inspection.</t>
  </si>
  <si>
    <t>Fail a required check and save.</t>
  </si>
  <si>
    <t>Asset becomes unavailable as required and traceable maintenance work/routing is created.</t>
  </si>
  <si>
    <t>ASSET-012</t>
  </si>
  <si>
    <t>QR label</t>
  </si>
  <si>
    <t>Generate and print an asset QR label.</t>
  </si>
  <si>
    <t>Open label for an asset and scan the printed/on-screen code.</t>
  </si>
  <si>
    <t>Code resolves uniquely to the same asset without embedding sensitive data.</t>
  </si>
  <si>
    <t>ASSET-013</t>
  </si>
  <si>
    <t>QR invalid</t>
  </si>
  <si>
    <t>Scan malformed, unknown, or another-scope QR content.</t>
  </si>
  <si>
    <t>Submit each code.</t>
  </si>
  <si>
    <t>A safe not-found/forbidden response appears and no wrong asset is opened.</t>
  </si>
  <si>
    <t>ASSET-014</t>
  </si>
  <si>
    <t>Transfer</t>
  </si>
  <si>
    <t>Transfer an asset between eligible branches/divisions.</t>
  </si>
  <si>
    <t>Create, approve/progress, and complete the transfer.</t>
  </si>
  <si>
    <t>Status/location history update at the correct stage and conflicting hire/activity is blocked.</t>
  </si>
  <si>
    <t>ASSET-015</t>
  </si>
  <si>
    <t>Retirement</t>
  </si>
  <si>
    <t>Retire an eligible asset with reason.</t>
  </si>
  <si>
    <t>Retire, then try new booking/maintenance scheduling.</t>
  </si>
  <si>
    <t>Asset remains in history/reports but is excluded from new operational use.</t>
  </si>
  <si>
    <t>ASSET-016</t>
  </si>
  <si>
    <t>Asset profile</t>
  </si>
  <si>
    <t>Verify all detailed profile sections.</t>
  </si>
  <si>
    <t>Review identity, specs, availability, hire, inspections, damage, maintenance, meters, transfers, lifecycle, documents, and audit.</t>
  </si>
  <si>
    <t>Each section is accurate, linked, scoped, and handles empty history professionally.</t>
  </si>
  <si>
    <t>ASSET-017</t>
  </si>
  <si>
    <t>Asset financial access</t>
  </si>
  <si>
    <t>Compare profile as financial and nonfinancial users.</t>
  </si>
  <si>
    <t>Open the same asset under each role.</t>
  </si>
  <si>
    <t>Costs/performance appear only when authorized; hidden data is also blocked at API level.</t>
  </si>
  <si>
    <t>ASSET-018</t>
  </si>
  <si>
    <t>Asset detailed report</t>
  </si>
  <si>
    <t>Generate a detailed report for one asset.</t>
  </si>
  <si>
    <t>Open report, search/date filter, preview, export PDF/CSV, and compare profile data.</t>
  </si>
  <si>
    <t>Report includes necessary asset details and permitted financials, labels lifetime figures, and excludes photos/signatures while keeping them in profile.</t>
  </si>
  <si>
    <t>PLAN-001</t>
  </si>
  <si>
    <t>Calendar load</t>
  </si>
  <si>
    <t>Open planning calendar for a branch/date range.</t>
  </si>
  <si>
    <t>Change branch, division, date, and asset filters.</t>
  </si>
  <si>
    <t>Bookings, holds, maintenance, transfers, and closures appear on correct assets/dates.</t>
  </si>
  <si>
    <t>PLAN-002</t>
  </si>
  <si>
    <t>Availability conflict</t>
  </si>
  <si>
    <t>Create overlapping booking dates for the same asset.</t>
  </si>
  <si>
    <t>Save first confirmed booking, then attempt an overlap.</t>
  </si>
  <si>
    <t>Conflict is blocked atomically and the original booking remains unchanged.</t>
  </si>
  <si>
    <t>PLAN-003</t>
  </si>
  <si>
    <t>Maintenance conflict</t>
  </si>
  <si>
    <t>Book an asset during active maintenance/out-of-service state.</t>
  </si>
  <si>
    <t>Attempt staff and public requests.</t>
  </si>
  <si>
    <t>Asset is unavailable and the reason is visible to authorized staff.</t>
  </si>
  <si>
    <t>PLAN-004</t>
  </si>
  <si>
    <t>Branch closure</t>
  </si>
  <si>
    <t>Book across a configured closure/nonoperating period.</t>
  </si>
  <si>
    <t>Select affected dates and price/confirm.</t>
  </si>
  <si>
    <t>Validation follows configured branch calendar and does not silently ignore closure.</t>
  </si>
  <si>
    <t>PLAN-005</t>
  </si>
  <si>
    <t>Hourly pricing</t>
  </si>
  <si>
    <t>Price a valid hourly rental.</t>
  </si>
  <si>
    <t>Choose duration and compare base, extras, tax, deposit, and total.</t>
  </si>
  <si>
    <t>Calculation follows configured rate and rounding.</t>
  </si>
  <si>
    <t>PLAN-006</t>
  </si>
  <si>
    <t>Daily and per-unit pricing</t>
  </si>
  <si>
    <t>Price daily and unit-based assets at boundary durations/quantities.</t>
  </si>
  <si>
    <t>Test just below/at/above charging boundary.</t>
  </si>
  <si>
    <t>Charged units and totals match the documented rule.</t>
  </si>
  <si>
    <t>PLAN-007</t>
  </si>
  <si>
    <t>Customer and branch rates</t>
  </si>
  <si>
    <t>Apply customer-specific and branch/location rates.</t>
  </si>
  <si>
    <t>Price the same asset/customer at eligible locations.</t>
  </si>
  <si>
    <t>Correct precedence is applied and source is understandable to staff.</t>
  </si>
  <si>
    <t>PLAN-008</t>
  </si>
  <si>
    <t>Discount and extra charges</t>
  </si>
  <si>
    <t>Apply valid discount and configured extras.</t>
  </si>
  <si>
    <t>Add/remove extras and test excessive/negative discount.</t>
  </si>
  <si>
    <t>Valid totals recalculate; prohibited values are rejected; audit/snapshot is retained.</t>
  </si>
  <si>
    <t>PLAN-009</t>
  </si>
  <si>
    <t>VAT mode</t>
  </si>
  <si>
    <t>Calculate tax-inclusive and tax-exclusive quotes using current Fiji VAT setting.</t>
  </si>
  <si>
    <t>Run both modes and compare subtotal, tax, and total.</t>
  </si>
  <si>
    <t>Tax is not double-counted, rounding is consistent, and saved historical totals remain stable.</t>
  </si>
  <si>
    <t>PLAN-010</t>
  </si>
  <si>
    <t>Delivery and operator charges</t>
  </si>
  <si>
    <t>Price delivery zone, kilometres, operator hours, and service charges.</t>
  </si>
  <si>
    <t>Enter valid and invalid quantities/zones.</t>
  </si>
  <si>
    <t>Applicable charges use configured rates and invalid input is rejected.</t>
  </si>
  <si>
    <t>PLAN-011</t>
  </si>
  <si>
    <t>Price refresh</t>
  </si>
  <si>
    <t>Change dates/options after pricing.</t>
  </si>
  <si>
    <t>Modify an input and attempt submission without reviewing recalculation.</t>
  </si>
  <si>
    <t>Price refreshes or stale confirmation is blocked so saved totals match reviewed inputs.</t>
  </si>
  <si>
    <t>BOOK-001</t>
  </si>
  <si>
    <t>Booking work queue</t>
  </si>
  <si>
    <t>Open and filter booking/quotation work queue.</t>
  </si>
  <si>
    <t>Filter by branch, status, dates, customer, and reference.</t>
  </si>
  <si>
    <t>Only scoped matching work appears with actionable status and stable pagination.</t>
  </si>
  <si>
    <t>BOOK-002</t>
  </si>
  <si>
    <t>Booking workspace</t>
  </si>
  <si>
    <t>Open a booking and verify complete context.</t>
  </si>
  <si>
    <t>Compare customer, asset, dates, pricing, charges, bond, requests, readiness, and history.</t>
  </si>
  <si>
    <t>Workspace matches source records and shows only actions valid for current state.</t>
  </si>
  <si>
    <t>BOOK-003</t>
  </si>
  <si>
    <t>Booking edit</t>
  </si>
  <si>
    <t>Edit an eligible draft/pending booking.</t>
  </si>
  <si>
    <t>Change dates, asset/options, and notes, then save.</t>
  </si>
  <si>
    <t>Availability and price are revalidated; valid edits persist and are audited.</t>
  </si>
  <si>
    <t>BOOK-004</t>
  </si>
  <si>
    <t>Invalid booking transition</t>
  </si>
  <si>
    <t>Attempt unsupported status changes or skip required stages.</t>
  </si>
  <si>
    <t>Use UI and direct API request.</t>
  </si>
  <si>
    <t>Transition is rejected and status/history remain unchanged.</t>
  </si>
  <si>
    <t>BOOK-005</t>
  </si>
  <si>
    <t>Confirm booking</t>
  </si>
  <si>
    <t>Confirm a ready booking.</t>
  </si>
  <si>
    <t>Complete required customer/licence/payment/approval information and confirm.</t>
  </si>
  <si>
    <t>Booking becomes confirmed, inventory is reserved, and notifications are generated.</t>
  </si>
  <si>
    <t>BOOK-006</t>
  </si>
  <si>
    <t>Cancel booking</t>
  </si>
  <si>
    <t>Cancel an eligible booking with reason.</t>
  </si>
  <si>
    <t>Cancel and inspect availability, finance, and customer portal.</t>
  </si>
  <si>
    <t>Status, reason, released availability, fees/refunds, and communications remain consistent.</t>
  </si>
  <si>
    <t>BOOK-007</t>
  </si>
  <si>
    <t>Booking charges</t>
  </si>
  <si>
    <t>Add, edit, and remove booking charges.</t>
  </si>
  <si>
    <t>Use taxable/non-taxable and invalid values.</t>
  </si>
  <si>
    <t>Totals recalculate correctly; invalid values fail; historical invoiced values are protected.</t>
  </si>
  <si>
    <t>BOOK-008</t>
  </si>
  <si>
    <t>Bond override</t>
  </si>
  <si>
    <t>Set a permitted custom bond or waiver.</t>
  </si>
  <si>
    <t>Enter reason and value, save, and review agreement/finance.</t>
  </si>
  <si>
    <t>Override is authorized, audited, and shown consistently without changing category default.</t>
  </si>
  <si>
    <t>BOOK-009</t>
  </si>
  <si>
    <t>Quotation generation</t>
  </si>
  <si>
    <t>Generate a quotation from a booking/request.</t>
  </si>
  <si>
    <t>Review line items, tax, validity, and save.</t>
  </si>
  <si>
    <t>Numbered quote snapshot is complete and totals match pricing.</t>
  </si>
  <si>
    <t>BOOK-010</t>
  </si>
  <si>
    <t>Quotation revision</t>
  </si>
  <si>
    <t>Create a quote revision after changing terms.</t>
  </si>
  <si>
    <t>Revise lines/validity and compare prior version.</t>
  </si>
  <si>
    <t>New revision is versioned; prior sent content remains traceable.</t>
  </si>
  <si>
    <t>BOOK-011</t>
  </si>
  <si>
    <t>Send quote</t>
  </si>
  <si>
    <t>Send an eligible quote to the customer.</t>
  </si>
  <si>
    <t>Use send action and inspect status/email record/customer portal.</t>
  </si>
  <si>
    <t>Status and delivery record synchronize; direct status bypass is rejected.</t>
  </si>
  <si>
    <t>BOOK-012</t>
  </si>
  <si>
    <t>Quote transitions</t>
  </si>
  <si>
    <t>Accept, reject with reason, expire, and convert valid quotes.</t>
  </si>
  <si>
    <t>Exercise each on separate records and attempt invalid repeats.</t>
  </si>
  <si>
    <t>Only legal transitions occur; rejection reason is required; conversion does not duplicate booking.</t>
  </si>
  <si>
    <t>BOOK-013</t>
  </si>
  <si>
    <t>Approval routing</t>
  </si>
  <si>
    <t>Create requests that match and do not match configured approval rules.</t>
  </si>
  <si>
    <t>Test asset type and exact 24-hour duration boundaries.</t>
  </si>
  <si>
    <t>Correct rule/stage/reason is selected with scope precedence and no unnecessary approval.</t>
  </si>
  <si>
    <t>BOOK-014</t>
  </si>
  <si>
    <t>Approval decision</t>
  </si>
  <si>
    <t>Approve and reject at each assigned stage.</t>
  </si>
  <si>
    <t>Act as assigned and unassigned roles/users.</t>
  </si>
  <si>
    <t>Authorized decision advances/completes once; unauthorized decision is forbidden; history records comments.</t>
  </si>
  <si>
    <t>BOOK-015</t>
  </si>
  <si>
    <t>Customer request decision</t>
  </si>
  <si>
    <t>Approve/reject portal cancellation or extension request.</t>
  </si>
  <si>
    <t>Open case, decide with note, and inspect booking/portal.</t>
  </si>
  <si>
    <t>Decision updates all linked state and sends one clear customer notification.</t>
  </si>
  <si>
    <t>BOOK-016</t>
  </si>
  <si>
    <t>Concurrent booking update</t>
  </si>
  <si>
    <t>Concurrency</t>
  </si>
  <si>
    <t>Edit the same booking in two sessions.</t>
  </si>
  <si>
    <t>Save session A, then save stale session B.</t>
  </si>
  <si>
    <t>Stale update is rejected or reconciled without overwriting the newer record.</t>
  </si>
  <si>
    <t>RENT-001</t>
  </si>
  <si>
    <t>Hire readiness</t>
  </si>
  <si>
    <t>Review readiness before pickup.</t>
  </si>
  <si>
    <t>Check customer/licence, approval, agreement, payment/bond, asset, inspection, and conflicts.</t>
  </si>
  <si>
    <t>Each blocker is explicit; handover cannot proceed while a required item is incomplete.</t>
  </si>
  <si>
    <t>RENT-002</t>
  </si>
  <si>
    <t>Authorized driver</t>
  </si>
  <si>
    <t>Add an authorized driver to a rental.</t>
  </si>
  <si>
    <t>Enter valid verified licence details, then invalid/expired details.</t>
  </si>
  <si>
    <t>Valid driver is attached; invalid driver blocks readiness without corrupting the booking.</t>
  </si>
  <si>
    <t>RENT-003</t>
  </si>
  <si>
    <t>Pre-hire inspection</t>
  </si>
  <si>
    <t>Complete pickup inspection and evidence.</t>
  </si>
  <si>
    <t>Scan asset, record meter/fuel/accessories/checklist/photos/signatures.</t>
  </si>
  <si>
    <t>Evidence is attached to the correct booking/asset and required entries are enforced.</t>
  </si>
  <si>
    <t>RENT-004</t>
  </si>
  <si>
    <t>Wrong asset scan</t>
  </si>
  <si>
    <t>Scan an asset different from the booking.</t>
  </si>
  <si>
    <t>Attempt checkout with wrong QR.</t>
  </si>
  <si>
    <t>Checkout is blocked and the mismatch is clearly identified.</t>
  </si>
  <si>
    <t>RENT-005</t>
  </si>
  <si>
    <t>Agreement generation</t>
  </si>
  <si>
    <t>Generate the rental agreement for a confirmed ready booking.</t>
  </si>
  <si>
    <t>Open preview/PDF and compare customer, asset, dates, rates, charges, bond, terms, and drivers.</t>
  </si>
  <si>
    <t>Agreement is readable, correctly numbered/versioned, and matches the reviewed booking snapshot.</t>
  </si>
  <si>
    <t>RENT-006</t>
  </si>
  <si>
    <t>Agreement signatures</t>
  </si>
  <si>
    <t>Capture staff/customer signatures.</t>
  </si>
  <si>
    <t>Sign, clear/redraw before save, then save and reopen.</t>
  </si>
  <si>
    <t>Required signatures persist with signer/time and cannot be silently replaced after finalization.</t>
  </si>
  <si>
    <t>RENT-007</t>
  </si>
  <si>
    <t>Agreement send</t>
  </si>
  <si>
    <t>Email an eligible agreement.</t>
  </si>
  <si>
    <t>Send once, retry after a simulated failure, and inspect delivery record.</t>
  </si>
  <si>
    <t>Correct version goes to intended recipient; retry is traceable and does not create a new agreement.</t>
  </si>
  <si>
    <t>RENT-008</t>
  </si>
  <si>
    <t>Payment and bond</t>
  </si>
  <si>
    <t>Record pickup payment and verify bond.</t>
  </si>
  <si>
    <t>Use valid payment, then zero/negative/duplicate reference.</t>
  </si>
  <si>
    <t>Valid payment is recorded once; invalid/duplicate entry is rejected; readiness updates.</t>
  </si>
  <si>
    <t>RENT-009</t>
  </si>
  <si>
    <t>Handover</t>
  </si>
  <si>
    <t>Complete handover after all readiness items.</t>
  </si>
  <si>
    <t>Submit handover and inspect booking/asset/customer portal.</t>
  </si>
  <si>
    <t>Rental becomes active, asset becomes hired/unavailable, timestamps and responsible staff are recorded.</t>
  </si>
  <si>
    <t>RENT-010</t>
  </si>
  <si>
    <t>Duplicate handover</t>
  </si>
  <si>
    <t>Submit handover twice or from two sessions.</t>
  </si>
  <si>
    <t>Repeat after success.</t>
  </si>
  <si>
    <t>Second action is idempotently rejected and no duplicate lifecycle/payment/inspection is created.</t>
  </si>
  <si>
    <t>RENT-011</t>
  </si>
  <si>
    <t>On-hire incident</t>
  </si>
  <si>
    <t>Record an incident during active hire.</t>
  </si>
  <si>
    <t>Enter category, description, date, and evidence.</t>
  </si>
  <si>
    <t>Incident is linked to rental/asset, notifies staff as configured, and is visible in history.</t>
  </si>
  <si>
    <t>RENT-012</t>
  </si>
  <si>
    <t>Rental addendum</t>
  </si>
  <si>
    <t>Add an extension/change addendum.</t>
  </si>
  <si>
    <t>Enter approved terms and generate/send.</t>
  </si>
  <si>
    <t>Addendum is versioned, linked to original agreement, and updates applicable dates/charges.</t>
  </si>
  <si>
    <t>RENT-013</t>
  </si>
  <si>
    <t>Return charge preview</t>
  </si>
  <si>
    <t>Preview late, excess usage, fuel, cleaning, and damage charges.</t>
  </si>
  <si>
    <t>Set return readings/condition to trigger each charge.</t>
  </si>
  <si>
    <t>Proposed charges follow configured definitions and show evidence/basis before confirmation.</t>
  </si>
  <si>
    <t>RENT-014</t>
  </si>
  <si>
    <t>Return inspection</t>
  </si>
  <si>
    <t>Complete post-hire inspection.</t>
  </si>
  <si>
    <t>Scan asset; record meter/fuel/accessories/checklist/photos/signatures and compare pre-hire.</t>
  </si>
  <si>
    <t>Differences are clear, required evidence persists, and the correct asset/booking is used.</t>
  </si>
  <si>
    <t>RENT-015</t>
  </si>
  <si>
    <t>Damage routing</t>
  </si>
  <si>
    <t>Record new return damage.</t>
  </si>
  <si>
    <t>Fail damage check, confirm return, and inspect maintenance.</t>
  </si>
  <si>
    <t>Damage is traceable from inspection to a maintenance record; asset does not become available prematurely.</t>
  </si>
  <si>
    <t>RENT-016</t>
  </si>
  <si>
    <t>Bond settlement</t>
  </si>
  <si>
    <t>Deduct valid return charges and refund remaining bond.</t>
  </si>
  <si>
    <t>Apply partial deduction, then try deduction beyond held bond.</t>
  </si>
  <si>
    <t>Valid allocation/remainder is correct and auditable; excessive deduction is blocked.</t>
  </si>
  <si>
    <t>RENT-017</t>
  </si>
  <si>
    <t>Return completion</t>
  </si>
  <si>
    <t>Complete a normal no-damage return.</t>
  </si>
  <si>
    <t>Submit final readings, charges, signatures, and payment settlement.</t>
  </si>
  <si>
    <t>Booking completes, invoice/receipt is available, asset status is correct, and availability is released.</t>
  </si>
  <si>
    <t>RENT-018</t>
  </si>
  <si>
    <t>Active-hire conflict</t>
  </si>
  <si>
    <t>Try return or safety release while booking state is inconsistent.</t>
  </si>
  <si>
    <t>Use missing handover, wrong status, or open allocation.</t>
  </si>
  <si>
    <t>Action is blocked with a precise resolution path.</t>
  </si>
  <si>
    <t>MAINT-001</t>
  </si>
  <si>
    <t>Maintenance queue</t>
  </si>
  <si>
    <t>Open workspace with more than twelve active jobs.</t>
  </si>
  <si>
    <t>Scroll and use search/status/branch filters.</t>
  </si>
  <si>
    <t>All relevant entries are accessible without a trapped inner scrollbar; filters are accurate.</t>
  </si>
  <si>
    <t>MAINT-002</t>
  </si>
  <si>
    <t>Job creation</t>
  </si>
  <si>
    <t>Create corrective and preventive jobs for eligible assets.</t>
  </si>
  <si>
    <t>Enter issue, priority, dates, technician/supplier, estimate, and source.</t>
  </si>
  <si>
    <t>Job is uniquely created, asset becomes appropriately unavailable, and source is traceable.</t>
  </si>
  <si>
    <t>MAINT-003</t>
  </si>
  <si>
    <t>Duplicate prevention</t>
  </si>
  <si>
    <t>Try a duplicate automatic/open job for the same due condition.</t>
  </si>
  <si>
    <t>Trigger rule twice or create same work manually.</t>
  </si>
  <si>
    <t>Duplicate work is prevented or clearly linked rather than silently duplicated.</t>
  </si>
  <si>
    <t>MAINT-004</t>
  </si>
  <si>
    <t>Job scope</t>
  </si>
  <si>
    <t>Read/update another branch or division job.</t>
  </si>
  <si>
    <t>Use direct identifiers as restricted staff.</t>
  </si>
  <si>
    <t>Read and write are forbidden and no financial/evidence data leaks.</t>
  </si>
  <si>
    <t>MAINT-005</t>
  </si>
  <si>
    <t>Technician directory</t>
  </si>
  <si>
    <t>Create/edit/clear technician with qualifications and locations.</t>
  </si>
  <si>
    <t>Save multiple exact branch/division pairs and test assignment.</t>
  </si>
  <si>
    <t>Only qualified/available eligible technicians appear; duplicates/invalid references are rejected.</t>
  </si>
  <si>
    <t>MAINT-006</t>
  </si>
  <si>
    <t>Supplier directory</t>
  </si>
  <si>
    <t>Create and edit supplier records.</t>
  </si>
  <si>
    <t>Enter unique valid data, then duplicate/missing values.</t>
  </si>
  <si>
    <t>Valid supplier persists; invalid record is rejected without mutation.</t>
  </si>
  <si>
    <t>MAINT-007</t>
  </si>
  <si>
    <t>Assignment and status</t>
  </si>
  <si>
    <t>Move job through start, wait, resume, complete, cancel, and reopen.</t>
  </si>
  <si>
    <t>Provide required reasons/notes at each state.</t>
  </si>
  <si>
    <t>Only legal transitions occur; timestamps, assignee, reasons, and history are accurate.</t>
  </si>
  <si>
    <t>MAINT-008</t>
  </si>
  <si>
    <t>Completion requirements</t>
  </si>
  <si>
    <t>Attempt completion without summary or current meter.</t>
  </si>
  <si>
    <t>Submit missing fields, then complete them.</t>
  </si>
  <si>
    <t>Incomplete save is blocked; valid completion moves asset to Inspection, not directly Available.</t>
  </si>
  <si>
    <t>MAINT-009</t>
  </si>
  <si>
    <t>Preventive recurrence</t>
  </si>
  <si>
    <t>Complete preventive maintenance with schedule rules.</t>
  </si>
  <si>
    <t>Test monthly rule, explicit next date, and next meter target.</t>
  </si>
  <si>
    <t>Explicit targets take precedence; otherwise recurrence calculates correctly and remains visible.</t>
  </si>
  <si>
    <t>MAINT-010</t>
  </si>
  <si>
    <t>Service due boundaries</t>
  </si>
  <si>
    <t>Test below, equal, and above date/meter threshold.</t>
  </si>
  <si>
    <t>Set target and readings/dates around boundary.</t>
  </si>
  <si>
    <t>Below is not due, equal is due now, above is overdue; counts and filters agree.</t>
  </si>
  <si>
    <t>MAINT-011</t>
  </si>
  <si>
    <t>Invalid rules</t>
  </si>
  <si>
    <t>Load incomplete/unsupported maintenance rule JSON/configuration.</t>
  </si>
  <si>
    <t>Open rules/schedule.</t>
  </si>
  <si>
    <t>Visible warning appears and no unsafe automatic job is created.</t>
  </si>
  <si>
    <t>MAINT-012</t>
  </si>
  <si>
    <t>Inspection navigation</t>
  </si>
  <si>
    <t>Open source and safety inspection records from a job.</t>
  </si>
  <si>
    <t>Review author, notes, meter, checks, and permitted evidence.</t>
  </si>
  <si>
    <t>Record belongs to same scoped asset; signatures/raw evidence remain protected as designed.</t>
  </si>
  <si>
    <t>MAINT-013</t>
  </si>
  <si>
    <t>Parts issue</t>
  </si>
  <si>
    <t>Issue stock to a maintenance job.</t>
  </si>
  <si>
    <t>Select part/location/quantity and save.</t>
  </si>
  <si>
    <t>Stock decreases once, original unit valuation is retained, and cost appears on the job.</t>
  </si>
  <si>
    <t>MAINT-014</t>
  </si>
  <si>
    <t>Parts validation</t>
  </si>
  <si>
    <t>Issue unavailable, zero, excessive, wrong-location, or stale stock quantity.</t>
  </si>
  <si>
    <t>No negative stock or partial ledger mutation occurs; user can refresh and retry.</t>
  </si>
  <si>
    <t>MAINT-015</t>
  </si>
  <si>
    <t>Parts return</t>
  </si>
  <si>
    <t>Return unused issued stock with reason.</t>
  </si>
  <si>
    <t>Return part/all quantity and attempt over-return.</t>
  </si>
  <si>
    <t>Allowed quantity restores stock at original valuation; over-return is rejected and audited.</t>
  </si>
  <si>
    <t>MAINT-016</t>
  </si>
  <si>
    <t>Cost detail</t>
  </si>
  <si>
    <t>Record labour, fuel, contractor, parts, and invoice evidence.</t>
  </si>
  <si>
    <t>Save each cost and compare totals.</t>
  </si>
  <si>
    <t>Net, tax, and total follow mode; issued stock/internal labour exclusions are correct; evidence is linked.</t>
  </si>
  <si>
    <t>MAINT-017</t>
  </si>
  <si>
    <t>Tax modes</t>
  </si>
  <si>
    <t>Test exclusive, inclusive, exempt, and invoice-total modes.</t>
  </si>
  <si>
    <t>Use same base values and a manual override with/without reason.</t>
  </si>
  <si>
    <t>Server totals and rounding are correct; override requires reason; tax is not added twice.</t>
  </si>
  <si>
    <t>MAINT-018</t>
  </si>
  <si>
    <t>Financial permission</t>
  </si>
  <si>
    <t>Open same job with and without maintenance financial access.</t>
  </si>
  <si>
    <t>Compare fields/API response and try direct update.</t>
  </si>
  <si>
    <t>Unauthorized cost/evidence is omitted and cannot be changed; saved values remain intact.</t>
  </si>
  <si>
    <t>MAINT-019</t>
  </si>
  <si>
    <t>Actual versus estimate</t>
  </si>
  <si>
    <t>Validate cumulative maintenance reporting.</t>
  </si>
  <si>
    <t>Compare active, cancelled, and completed actual costs with estimates.</t>
  </si>
  <si>
    <t>Actual totals include recorded actuals, exclude estimates, and keep completed cost distinct.</t>
  </si>
  <si>
    <t>MAINT-020</t>
  </si>
  <si>
    <t>Safety release</t>
  </si>
  <si>
    <t>Pass an authorized safety inspection and release the asset.</t>
  </si>
  <si>
    <t>Resolve work, complete required checks, use current meter, and release.</t>
  </si>
  <si>
    <t>Inspector/time is recorded and asset becomes Available only after all blockers clear.</t>
  </si>
  <si>
    <t>MAINT-021</t>
  </si>
  <si>
    <t>Release blockers</t>
  </si>
  <si>
    <t>Attempt release with open repair, active hire/allocation, transfer, failed check, due service, or decreasing meter.</t>
  </si>
  <si>
    <t>Test each blocker separately.</t>
  </si>
  <si>
    <t>Release is denied with the correct blocker and no asset status change.</t>
  </si>
  <si>
    <t>MAINT-022</t>
  </si>
  <si>
    <t>Concurrent maintenance save</t>
  </si>
  <si>
    <t>Edit job/stock from two sessions.</t>
  </si>
  <si>
    <t>Save first version then stale second version.</t>
  </si>
  <si>
    <t>Stale save is rejected; current data and entered draft are recoverable for review.</t>
  </si>
  <si>
    <t>MAINT-023</t>
  </si>
  <si>
    <t>Document evidence</t>
  </si>
  <si>
    <t>Upload/list/download maintenance invoices and evidence.</t>
  </si>
  <si>
    <t>Use valid file and unsafe/oversized file; test unauthorized branch.</t>
  </si>
  <si>
    <t>Valid evidence is private and linked; invalid/unauthorized access is blocked.</t>
  </si>
  <si>
    <t>OPS-001</t>
  </si>
  <si>
    <t>Operations overview</t>
  </si>
  <si>
    <t>Open group or branch operations overview.</t>
  </si>
  <si>
    <t>Compare counts, urgent items, and filters with underlying records.</t>
  </si>
  <si>
    <t>KPIs and queues reflect access scope and link to matching work.</t>
  </si>
  <si>
    <t>OPS-002</t>
  </si>
  <si>
    <t>Task management</t>
  </si>
  <si>
    <t>Create, assign, complete, and filter an operational task.</t>
  </si>
  <si>
    <t>Enter due date/priority/assignee; complete once.</t>
  </si>
  <si>
    <t>Task lifecycle, overdue state, ownership, and audit are accurate; duplicate completion is controlled.</t>
  </si>
  <si>
    <t>OPS-003</t>
  </si>
  <si>
    <t>Customer case</t>
  </si>
  <si>
    <t>Create and progress a customer case.</t>
  </si>
  <si>
    <t>Link customer/booking, change status, add resolution.</t>
  </si>
  <si>
    <t>Case remains linked and only valid status transitions are allowed.</t>
  </si>
  <si>
    <t>OPS-004</t>
  </si>
  <si>
    <t>Dispatch</t>
  </si>
  <si>
    <t>Create and progress delivery/collection dispatch.</t>
  </si>
  <si>
    <t>Assign booking/asset/driver/time and update statuses.</t>
  </si>
  <si>
    <t>Schedule conflicts are visible; milestones and responsible staff are recorded.</t>
  </si>
  <si>
    <t>OPS-005</t>
  </si>
  <si>
    <t>Asset transfer workflow</t>
  </si>
  <si>
    <t>Create and progress an operations transfer.</t>
  </si>
  <si>
    <t>Use valid source/destination and complete each stage.</t>
  </si>
  <si>
    <t>Asset status/location update at intended stage; invalid/conflicting transfer is rejected.</t>
  </si>
  <si>
    <t>OPS-006</t>
  </si>
  <si>
    <t>Corporate account</t>
  </si>
  <si>
    <t>Create a corporate operating account.</t>
  </si>
  <si>
    <t>Enter credit/contact/branch data and save.</t>
  </si>
  <si>
    <t>Unique account links to customer and is available in permitted quote/booking flows.</t>
  </si>
  <si>
    <t>OPS-007</t>
  </si>
  <si>
    <t>Personnel qualification</t>
  </si>
  <si>
    <t>Add personnel and qualifications.</t>
  </si>
  <si>
    <t>Set validity dates and attempt assignment before/after expiry.</t>
  </si>
  <si>
    <t>Only appropriately qualified current personnel can be assigned.</t>
  </si>
  <si>
    <t>OPS-008</t>
  </si>
  <si>
    <t>Personnel availability</t>
  </si>
  <si>
    <t>Create overlapping assignments.</t>
  </si>
  <si>
    <t>Assign same person to conflicting times.</t>
  </si>
  <si>
    <t>Conflict is blocked or clearly warned according to rule; no double booking is hidden.</t>
  </si>
  <si>
    <t>OPS-009</t>
  </si>
  <si>
    <t>Timesheet</t>
  </si>
  <si>
    <t>Record assignment time and overtime.</t>
  </si>
  <si>
    <t>Enter normal/overtime hours and invalid negative/excessive values.</t>
  </si>
  <si>
    <t>Valid time persists and service costs/reporting update; invalid values fail.</t>
  </si>
  <si>
    <t>OPS-010</t>
  </si>
  <si>
    <t>Delivery zone</t>
  </si>
  <si>
    <t>Create/update delivery zone and rate.</t>
  </si>
  <si>
    <t>Price a booking inside/outside zone.</t>
  </si>
  <si>
    <t>Correct zone/rate is applied and old transaction snapshots stay unchanged.</t>
  </si>
  <si>
    <t>OPS-011</t>
  </si>
  <si>
    <t>Parts and supplier purchase order</t>
  </si>
  <si>
    <t>Create part and purchase order.</t>
  </si>
  <si>
    <t>Add supplier, quantities, costs, tax, and progress status.</t>
  </si>
  <si>
    <t>Totals and status are correct and records are traceable to supplier/inventory.</t>
  </si>
  <si>
    <t>OPS-012</t>
  </si>
  <si>
    <t>Alerts</t>
  </si>
  <si>
    <t>Configure/refresh/acknowledge an operational alert.</t>
  </si>
  <si>
    <t>Trigger rule, refresh, acknowledge, then trigger resolution.</t>
  </si>
  <si>
    <t>Alert is created once, links to source, records acknowledgement, and resolves correctly.</t>
  </si>
  <si>
    <t>OPS-013</t>
  </si>
  <si>
    <t>Telematics and lifecycle</t>
  </si>
  <si>
    <t>Record asset telematics/meter and lifecycle event.</t>
  </si>
  <si>
    <t>Submit valid then stale/decreasing/invalid data.</t>
  </si>
  <si>
    <t>Valid event updates history/alerts; invalid values do not corrupt the current asset state.</t>
  </si>
  <si>
    <t>OPS-014</t>
  </si>
  <si>
    <t>Operations reports</t>
  </si>
  <si>
    <t>Generate overview, dispatch, task, quote, approval, case, personnel, alert, parts, PO, and transfer reports.</t>
  </si>
  <si>
    <t>Open each report, filter/search/page/export, and compare source data.</t>
  </si>
  <si>
    <t>Professional reports contain matching scoped records and all matching export rows.</t>
  </si>
  <si>
    <t>FIN-001</t>
  </si>
  <si>
    <t>Finance workspace</t>
  </si>
  <si>
    <t>Open finance register with scope filters.</t>
  </si>
  <si>
    <t>Filter invoices, payments, bonds, customers, status, and dates.</t>
  </si>
  <si>
    <t>Counts and records match permitted bookings; aging and balances are accurate.</t>
  </si>
  <si>
    <t>FIN-002</t>
  </si>
  <si>
    <t>Invoice generation</t>
  </si>
  <si>
    <t>Generate invoice from completed/eligible rental charges.</t>
  </si>
  <si>
    <t>Compare agreement, return charges, tax, payments, and invoice.</t>
  </si>
  <si>
    <t>Number, customer, lines, tax, total, and balance match the source snapshot.</t>
  </si>
  <si>
    <t>FIN-003</t>
  </si>
  <si>
    <t>Invoice line edit</t>
  </si>
  <si>
    <t>Edit lines on an eligible unpaid invoice.</t>
  </si>
  <si>
    <t>Add taxable/non-taxable lines and invalid quantity/rate; save.</t>
  </si>
  <si>
    <t>Valid totals recalculate; paid/void invoice is protected; invalid data does not mutate invoice.</t>
  </si>
  <si>
    <t>FIN-004</t>
  </si>
  <si>
    <t>Tax calculation</t>
  </si>
  <si>
    <t>Validate inclusive/exclusive VAT and rounding.</t>
  </si>
  <si>
    <t>Use mixed taxable and non-taxable lines.</t>
  </si>
  <si>
    <t>Subtotal, tax, total, and rounding agree with configured rules and no double tax occurs.</t>
  </si>
  <si>
    <t>FIN-005</t>
  </si>
  <si>
    <t>Payment record</t>
  </si>
  <si>
    <t>Record a valid booking payment with unique reference.</t>
  </si>
  <si>
    <t>Enter amount, method, date, and reference; retry same request.</t>
  </si>
  <si>
    <t>Payment is recorded once and appears in booking, reconciliation, and finance register.</t>
  </si>
  <si>
    <t>FIN-006</t>
  </si>
  <si>
    <t>Payment allocation</t>
  </si>
  <si>
    <t>Allocate payment to an invoice partially and fully.</t>
  </si>
  <si>
    <t>Allocate valid amounts, then zero/negative/over-payment/over-balance.</t>
  </si>
  <si>
    <t>Valid allocation updates paid, balance, and status; invalid allocations are rejected atomically.</t>
  </si>
  <si>
    <t>FIN-007</t>
  </si>
  <si>
    <t>Credit note</t>
  </si>
  <si>
    <t>Issue a partial credit note with reason.</t>
  </si>
  <si>
    <t>Apply valid credit, then zero/excess credit.</t>
  </si>
  <si>
    <t>Valid credit has unique number/tax split and reduces balance; invalid credit is rejected.</t>
  </si>
  <si>
    <t>FIN-008</t>
  </si>
  <si>
    <t>Bond register</t>
  </si>
  <si>
    <t>Trace bond receipt, hold, deduction, and refund.</t>
  </si>
  <si>
    <t>Complete rental lifecycle and compare transactions.</t>
  </si>
  <si>
    <t>Every bond movement is traceable to booking/payment/return and amounts net correctly.</t>
  </si>
  <si>
    <t>FIN-009</t>
  </si>
  <si>
    <t>Booking reconciliation</t>
  </si>
  <si>
    <t>Open reconciliation for a booking.</t>
  </si>
  <si>
    <t>Compare charges, invoice, allocations, credits, bond, and outstanding value.</t>
  </si>
  <si>
    <t>All financial events reconcile without unexplained difference.</t>
  </si>
  <si>
    <t>FIN-010</t>
  </si>
  <si>
    <t>Customer statement</t>
  </si>
  <si>
    <t>Generate a customer statement.</t>
  </si>
  <si>
    <t>Use customer with multiple paid/part-paid/unpaid invoices across branches in scope.</t>
  </si>
  <si>
    <t>Chronology, totals, paid, and outstanding amounts are accurate and scoped.</t>
  </si>
  <si>
    <t>FIN-011</t>
  </si>
  <si>
    <t>Financial authorization</t>
  </si>
  <si>
    <t>Try finance module and endpoints as Rental/Maintenance Officer.</t>
  </si>
  <si>
    <t>Use direct route/API identifiers.</t>
  </si>
  <si>
    <t>Access is denied and no totals/customer financial data are disclosed.</t>
  </si>
  <si>
    <t>FIN-012</t>
  </si>
  <si>
    <t>Finance reports</t>
  </si>
  <si>
    <t>Generate invoice, outstanding balance, payment, and bond reports.</t>
  </si>
  <si>
    <t>Apply search/date filters, page, export PDF/CSV, and reconcile totals.</t>
  </si>
  <si>
    <t>Preview has ten rows per page; exports contain every matching record with correct values.</t>
  </si>
  <si>
    <t>RPT-001</t>
  </si>
  <si>
    <t>Reporting workspace</t>
  </si>
  <si>
    <t>Load Reports and performance for authorized roles.</t>
  </si>
  <si>
    <t>Open as Administrator/Branch Manager and compare branch scope.</t>
  </si>
  <si>
    <t>KPIs load from current records; unauthorized roles cannot access data.</t>
  </si>
  <si>
    <t>RPT-002</t>
  </si>
  <si>
    <t>KPI totals</t>
  </si>
  <si>
    <t>Validate total assets, available now, confirmed bookings, and customers.</t>
  </si>
  <si>
    <t>Count matching source data under same scope.</t>
  </si>
  <si>
    <t>Displayed totals agree and exclude inaccessible/inactive data as defined.</t>
  </si>
  <si>
    <t>RPT-003</t>
  </si>
  <si>
    <t>Fleet utilization</t>
  </si>
  <si>
    <t>Validate active rentals divided by fleet.</t>
  </si>
  <si>
    <t>Use known fleet and active-hire counts including zero-fleet case.</t>
  </si>
  <si>
    <t>Percentage and denominator are correct; zero case is safe and understandable.</t>
  </si>
  <si>
    <t>RPT-004</t>
  </si>
  <si>
    <t>Projected booking value</t>
  </si>
  <si>
    <t>Validate confirmed/active/completed booking-day value.</t>
  </si>
  <si>
    <t>Compare known bookings, dates, and rates.</t>
  </si>
  <si>
    <t>Value follows reporting definition and labels tax/fee coverage correctly.</t>
  </si>
  <si>
    <t>RPT-005</t>
  </si>
  <si>
    <t>Profit and loss</t>
  </si>
  <si>
    <t>Review profit/loss rows and totals.</t>
  </si>
  <si>
    <t>Compare revenue, maintenance/operating expenses, and profit for known records.</t>
  </si>
  <si>
    <t>Sign, period, scope, and lifetime/period labels are correct with no double counting.</t>
  </si>
  <si>
    <t>RPT-006</t>
  </si>
  <si>
    <t>Profit pagination</t>
  </si>
  <si>
    <t>Use more than ten profit/loss records.</t>
  </si>
  <si>
    <t>Open list, select Next, then Previous.</t>
  </si>
  <si>
    <t>Exactly ten records show per page (except final page); button label is Next with a visible outline; no rows repeat/skip.</t>
  </si>
  <si>
    <t>RPT-007</t>
  </si>
  <si>
    <t>Audit pagination</t>
  </si>
  <si>
    <t>Use more than ten recent audit activities.</t>
  </si>
  <si>
    <t>Navigate Next and Previous and change search/date filter.</t>
  </si>
  <si>
    <t>Ten matching events show per page; filtering resets page safely; ordering remains newest first.</t>
  </si>
  <si>
    <t>RPT-008</t>
  </si>
  <si>
    <t>Report search</t>
  </si>
  <si>
    <t>Search report preview by identifiers and text.</t>
  </si>
  <si>
    <t>Use partial/mixed-case/no-match terms.</t>
  </si>
  <si>
    <t>All relevant visible report fields participate and empty state is clear.</t>
  </si>
  <si>
    <t>RPT-009</t>
  </si>
  <si>
    <t>Date filters</t>
  </si>
  <si>
    <t>Use valid From/To dates including equal dates.</t>
  </si>
  <si>
    <t>Apply, clear, then enter From after To.</t>
  </si>
  <si>
    <t>Matching dated rows filter in Fiji time; undated summaries remain; invalid range is blocked.</t>
  </si>
  <si>
    <t>RPT-010</t>
  </si>
  <si>
    <t>Report layout</t>
  </si>
  <si>
    <t>Verify report selector, shorter search field, and full date controls at desktop/mobile widths.</t>
  </si>
  <si>
    <t>Open several reports and resize.</t>
  </si>
  <si>
    <t>Full From/To dates fit, controls remain usable, and no overlap/clipping occurs.</t>
  </si>
  <si>
    <t>RPT-011</t>
  </si>
  <si>
    <t>CSV export</t>
  </si>
  <si>
    <t>Export a report containing commas, quotes, line breaks, Unicode, and formulas-like text.</t>
  </si>
  <si>
    <t>Open CSV in a spreadsheet editor.</t>
  </si>
  <si>
    <t>All matching rows export, columns align, escaping/encoding is correct, and dangerous formulas are neutralized.</t>
  </si>
  <si>
    <t>RPT-012</t>
  </si>
  <si>
    <t>PDF export</t>
  </si>
  <si>
    <t>Export a multi-page report.</t>
  </si>
  <si>
    <t>Open/print PDF and inspect title, filters, headers, rows, totals, and page breaks.</t>
  </si>
  <si>
    <t>Professional PDF contains all matching records without clipping or blank/broken pages.</t>
  </si>
  <si>
    <t>RPT-013</t>
  </si>
  <si>
    <t>Empty report</t>
  </si>
  <si>
    <t>Generate reports with no matching records.</t>
  </si>
  <si>
    <t>Apply no-match filters and export.</t>
  </si>
  <si>
    <t>Preview/export clearly states no matching records and does not fail.</t>
  </si>
  <si>
    <t>RPT-014</t>
  </si>
  <si>
    <t>Operations source limits</t>
  </si>
  <si>
    <t>Verify report coverage labels for capped operation endpoints.</t>
  </si>
  <si>
    <t>Generate reports with data beyond source limit.</t>
  </si>
  <si>
    <t>Coverage note states endpoint limit; report does not claim full historical coverage.</t>
  </si>
  <si>
    <t>RPT-015</t>
  </si>
  <si>
    <t>Asset register report</t>
  </si>
  <si>
    <t>Generate report from filtered asset register.</t>
  </si>
  <si>
    <t>Apply register filters and open report.</t>
  </si>
  <si>
    <t>All matching asset pages are fetched, not only the current screen page; counts match register.</t>
  </si>
  <si>
    <t>RPT-016</t>
  </si>
  <si>
    <t>Financial redaction</t>
  </si>
  <si>
    <t>Generate asset/report exports without financial permission.</t>
  </si>
  <si>
    <t>Try preview, PDF, CSV, and direct API.</t>
  </si>
  <si>
    <t>Financial fields are omitted or clearly unavailable in every path; no hidden value leaks.</t>
  </si>
  <si>
    <t>RPT-017</t>
  </si>
  <si>
    <t>Audit immutability</t>
  </si>
  <si>
    <t>Inspect audit export details.</t>
  </si>
  <si>
    <t>Compare actor, action, entity, time, branch, and summary to source event.</t>
  </si>
  <si>
    <t>Events are accurate, immutable, and do not expose passwords/tokens/private file contents.</t>
  </si>
  <si>
    <t>RPT-018</t>
  </si>
  <si>
    <t>Report failure recovery</t>
  </si>
  <si>
    <t>Force reporting endpoint/export failure.</t>
  </si>
  <si>
    <t>Load report, retry, and switch report after recovery.</t>
  </si>
  <si>
    <t>Clear error is shown; stale zero values are not misrepresented as real data; retry succeeds.</t>
  </si>
  <si>
    <t>SEC-001</t>
  </si>
  <si>
    <t>Unauthenticated APIs</t>
  </si>
  <si>
    <t>Call protected endpoints without a valid session/window header.</t>
  </si>
  <si>
    <t>Test representative read and write routes.</t>
  </si>
  <si>
    <t>Requests return unauthorized and no protected payload is included.</t>
  </si>
  <si>
    <t>SEC-002</t>
  </si>
  <si>
    <t>UI versus API authorization</t>
  </si>
  <si>
    <t>Invoke a forbidden write even when UI control is hidden.</t>
  </si>
  <si>
    <t>Submit direct request as each restricted role.</t>
  </si>
  <si>
    <t>Server rejects independently; hiding the control is not the only protection.</t>
  </si>
  <si>
    <t>SEC-003</t>
  </si>
  <si>
    <t>Input injection</t>
  </si>
  <si>
    <t>Enter script, HTML, SQL-like, and control characters in searchable/editable text fields.</t>
  </si>
  <si>
    <t>Save then view/export/search the values.</t>
  </si>
  <si>
    <t>Input is safely handled, does not execute, and database/query behavior is not altered.</t>
  </si>
  <si>
    <t>SEC-004</t>
  </si>
  <si>
    <t>File upload safety</t>
  </si>
  <si>
    <t>Upload executable, double-extension, oversized, and mismatched MIME files.</t>
  </si>
  <si>
    <t>Try customer, asset, maintenance, and inspection upload points.</t>
  </si>
  <si>
    <t>Unsafe files are rejected; accepted files are served safely and only to authorized users.</t>
  </si>
  <si>
    <t>SEC-005</t>
  </si>
  <si>
    <t>Sensitive logging</t>
  </si>
  <si>
    <t>Trigger failed login, validation, email, and database errors.</t>
  </si>
  <si>
    <t>Inspect user messages and permitted logs.</t>
  </si>
  <si>
    <t>Passwords, MFA/reset tokens, connection strings, and protected document contents are absent.</t>
  </si>
  <si>
    <t>SEC-006</t>
  </si>
  <si>
    <t>Direct object reference</t>
  </si>
  <si>
    <t>Enumerate/guess GUIDs for customer, booking, document, agreement, and asset records.</t>
  </si>
  <si>
    <t>Request records inside and outside scope.</t>
  </si>
  <si>
    <t>Only authorized objects are returned; existence is not leaked unnecessarily.</t>
  </si>
  <si>
    <t>SEC-007</t>
  </si>
  <si>
    <t>Concurrency integrity</t>
  </si>
  <si>
    <t>Perform simultaneous booking, stock, payment, and maintenance edits.</t>
  </si>
  <si>
    <t>Submit competing actions nearly together.</t>
  </si>
  <si>
    <t>Exactly one valid state wins; no negative stock, duplicate payment, double booking, or lost update occurs.</t>
  </si>
  <si>
    <t>SEC-008</t>
  </si>
  <si>
    <t>Transactional rollback</t>
  </si>
  <si>
    <t>Force failure late in multi-step booking/quote/return workflows.</t>
  </si>
  <si>
    <t>Interrupt at final save using test failure condition.</t>
  </si>
  <si>
    <t>No partial business record or inconsistent status remains.</t>
  </si>
  <si>
    <t>SEC-009</t>
  </si>
  <si>
    <t>Audit coverage</t>
  </si>
  <si>
    <t>Perform security-sensitive and financial changes.</t>
  </si>
  <si>
    <t>Change access, settings, statuses, approvals, payments, and releases.</t>
  </si>
  <si>
    <t>Required actor/time/action/entity context is recorded and cannot be edited by normal users.</t>
  </si>
  <si>
    <t>SEC-010</t>
  </si>
  <si>
    <t>Personal data minimization</t>
  </si>
  <si>
    <t>Review public pages, notifications, reports, and error messages.</t>
  </si>
  <si>
    <t>Look for licence data, full documents, addresses, or unrelated customer details.</t>
  </si>
  <si>
    <t>Only information needed for the audience/action is displayed or exported.</t>
  </si>
  <si>
    <t>NFR-001</t>
  </si>
  <si>
    <t>Typical response time</t>
  </si>
  <si>
    <t>Measure common list and detail page loads with representative data.</t>
  </si>
  <si>
    <t>Open dashboard, assets, bookings, maintenance, finance, and reports repeatedly.</t>
  </si>
  <si>
    <t>Pages remain responsive and complete within the agreed demo threshold without timeouts.</t>
  </si>
  <si>
    <t>NFR-002</t>
  </si>
  <si>
    <t>Large lists</t>
  </si>
  <si>
    <t>Use hundreds of assets/bookings and many history records.</t>
  </si>
  <si>
    <t>Search, filter, sort, paginate, and export.</t>
  </si>
  <si>
    <t>UI remains usable, results are stable, and exports do not omit matching data unexpectedly.</t>
  </si>
  <si>
    <t>NFR-003</t>
  </si>
  <si>
    <t>Keyboard use</t>
  </si>
  <si>
    <t>Accessibility</t>
  </si>
  <si>
    <t>Complete core workflows using keyboard only.</t>
  </si>
  <si>
    <t>Tab through login, forms, dialogs, tables, pagination, and close actions.</t>
  </si>
  <si>
    <t>Focus order is logical, focus is visible, and every required action is operable.</t>
  </si>
  <si>
    <t>NFR-004</t>
  </si>
  <si>
    <t>Screen reader labels</t>
  </si>
  <si>
    <t>Inspect form labels, icons, alerts, and loading states.</t>
  </si>
  <si>
    <t>Use browser accessibility tree or screen reader on representative pages.</t>
  </si>
  <si>
    <t>Controls have meaningful names, errors are associated, and status changes are announced.</t>
  </si>
  <si>
    <t>NFR-005</t>
  </si>
  <si>
    <t>Contrast and zoom</t>
  </si>
  <si>
    <t>Use 200 percent zoom and high contrast checks.</t>
  </si>
  <si>
    <t>Inspect text, outlined buttons, charts, validation, and disabled states.</t>
  </si>
  <si>
    <t>Content remains readable; information is not conveyed by color alone; controls do not overlap.</t>
  </si>
  <si>
    <t>NFR-006</t>
  </si>
  <si>
    <t>Form error recovery</t>
  </si>
  <si>
    <t>Submit long forms with one invalid field.</t>
  </si>
  <si>
    <t>Correct the indicated field and resubmit.</t>
  </si>
  <si>
    <t>Valid entered data remains, focus/error summary helps recovery, and one record is created.</t>
  </si>
  <si>
    <t>NFR-007</t>
  </si>
  <si>
    <t>Unsaved changes</t>
  </si>
  <si>
    <t>Navigate away from edited maintenance/configuration/profile data.</t>
  </si>
  <si>
    <t>Use in-app navigation, browser Back, and close dialog.</t>
  </si>
  <si>
    <t>User is warned where loss is significant and can stay or discard intentionally.</t>
  </si>
  <si>
    <t>NFR-008</t>
  </si>
  <si>
    <t>Double click</t>
  </si>
  <si>
    <t>Reliability</t>
  </si>
  <si>
    <t>Double-click major submit actions under slow network.</t>
  </si>
  <si>
    <t>Test booking, payment, agreement send, handover, return, and report download.</t>
  </si>
  <si>
    <t>Only one business write occurs and the UI indicates progress.</t>
  </si>
  <si>
    <t>NFR-009</t>
  </si>
  <si>
    <t>Network interruption</t>
  </si>
  <si>
    <t>Disconnect during a read and during a write.</t>
  </si>
  <si>
    <t>Reconnect and retry.</t>
  </si>
  <si>
    <t>State is clear; uncertain writes can be checked safely; retry does not duplicate records.</t>
  </si>
  <si>
    <t>NFR-010</t>
  </si>
  <si>
    <t>Database backup restore</t>
  </si>
  <si>
    <t>Restore a tested backup into a separate environment.</t>
  </si>
  <si>
    <t>Run integrity checks and sample key workflows after restore.</t>
  </si>
  <si>
    <t>Users, configuration, files/metadata, audit, and transactions reconcile with backup point.</t>
  </si>
  <si>
    <t>NFR-011</t>
  </si>
  <si>
    <t>Email outage</t>
  </si>
  <si>
    <t>Simulate email provider failure.</t>
  </si>
  <si>
    <t>Trigger quote/agreement/notification, inspect queue, then retry after recovery.</t>
  </si>
  <si>
    <t>Business transaction remains valid, failure is visible, and controlled retry sends the intended version once.</t>
  </si>
  <si>
    <t>NFR-012</t>
  </si>
  <si>
    <t>Print quality</t>
  </si>
  <si>
    <t>Print representative agreement, invoice, and report.</t>
  </si>
  <si>
    <t>Use A4/Letter printer settings and PDF preview.</t>
  </si>
  <si>
    <t>Critical content is legible, page breaks are clean, and signatures/totals are not clipped.</t>
  </si>
  <si>
    <t>E2E-001</t>
  </si>
  <si>
    <t>Vehicle rental journey</t>
  </si>
  <si>
    <t>End to end</t>
  </si>
  <si>
    <t>Complete a customer vehicle rental from catalogue to return.</t>
  </si>
  <si>
    <t>Register/verify; request; review/approve; pay/bond; inspect/sign/handover; return; settle; invoice/report.</t>
  </si>
  <si>
    <t>Every module shows one consistent customer, asset, dates, status, documents, money, and audit trail.</t>
  </si>
  <si>
    <t>E2E-002</t>
  </si>
  <si>
    <t>Equipment quote journey</t>
  </si>
  <si>
    <t>Complete quotation-only equipment hire with delivery/operator.</t>
  </si>
  <si>
    <t>Request quote; revise/send/accept; approve; dispatch; assign qualified operator; record time; collect; invoice.</t>
  </si>
  <si>
    <t>Quote, booking, operations, personnel, pricing, finance, and reports remain synchronized.</t>
  </si>
  <si>
    <t>E2E-003</t>
  </si>
  <si>
    <t>Damage and maintenance journey</t>
  </si>
  <si>
    <t>Process return damage through repair and safe release.</t>
  </si>
  <si>
    <t>Record return damage; create/trace job; issue parts/costs; complete; safety inspect/release; rebook.</t>
  </si>
  <si>
    <t>Evidence and costs trace across rental, asset, maintenance, finance, profitability, and audit without premature availability.</t>
  </si>
  <si>
    <t>E2E-004</t>
  </si>
  <si>
    <t>Customer change journey</t>
  </si>
  <si>
    <t>Process a confirmed booking extension or cancellation request.</t>
  </si>
  <si>
    <t>Customer submits request; staff decision/approval; dates/fees/refund/notifications update.</t>
  </si>
  <si>
    <t>Conflict checks and financial/customer records agree and every decision is traceable.</t>
  </si>
  <si>
    <t>E2E-005</t>
  </si>
  <si>
    <t>Cross-branch protection</t>
  </si>
  <si>
    <t>Run the same records through two branch-scoped sessions.</t>
  </si>
  <si>
    <t>Create in Branch A; search/open/change from Branch B; inspect as Administrator.</t>
  </si>
  <si>
    <t>Branch B cannot access; Administrator can audit across scope with source branch clearly labelled.</t>
  </si>
  <si>
    <t>E2E-006</t>
  </si>
  <si>
    <t>Practical assessment evidence</t>
  </si>
  <si>
    <t>Acceptance</t>
  </si>
  <si>
    <t>Demonstrate one passed and one deliberately failed validation case per major module.</t>
  </si>
  <si>
    <t>Execute cases, record tester/date/comments, and attach safe evidence references.</t>
  </si>
  <si>
    <t>Markers can reproduce the result, understand expected behavior, and trace any defect to a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</si>
</sst>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9">
    <font>
      <sz val="11"/>
      <name val="Carlito"/>
    </font>
    <font>
      <b/>
      <sz val="18"/>
      <color rgb="FFFFFFFF"/>
      <name val="Carlito"/>
    </font>
    <font>
      <i/>
      <sz val="11"/>
      <color rgb="FF334155"/>
      <name val="Carlito"/>
    </font>
    <font>
      <b/>
      <sz val="10"/>
      <color rgb="FFFFFFFF"/>
      <name val="Arial"/>
    </font>
    <font>
      <i/>
      <sz val="10"/>
      <color rgb="FF334155"/>
      <name val="Arial"/>
    </font>
    <font>
      <sz val="10"/>
      <name val="Arial"/>
    </font>
    <font>
      <b/>
      <sz val="10"/>
      <name val="Arial"/>
    </font>
    <font>
      <sz val="10"/>
      <color rgb="FF3F3F46"/>
      <name val="Arial"/>
    </font>
    <font>
      <sz val="11"/>
      <color rgb="FF475569"/>
      <name val="Carlito"/>
    </font>
  </fonts>
  <fills count="8">
    <fill>
      <patternFill patternType="none"/>
    </fill>
    <fill>
      <patternFill patternType="gray125"/>
    </fill>
    <fill>
      <patternFill patternType="solid">
        <fgColor rgb="FF17365D"/>
      </patternFill>
    </fill>
    <fill>
      <patternFill patternType="solid">
        <fgColor rgb="FFEAF1F8"/>
      </patternFill>
    </fill>
    <fill>
      <patternFill patternType="solid">
        <fgColor rgb="FFF5F8FC"/>
      </patternFill>
    </fill>
    <fill>
      <patternFill patternType="solid">
        <fgColor rgb="FFFFF8E7"/>
      </patternFill>
    </fill>
    <fill>
      <patternFill patternType="solid">
        <fgColor rgb="FFF8FAFC"/>
      </patternFill>
    </fill>
    <fill>
      <patternFill patternType="solid">
        <fgColor rgb="FFFFF8D9"/>
      </patternFill>
    </fill>
  </fills>
  <borders count="1">
    <border>
      <left/>
      <right/>
      <top/>
      <bottom/>
      <diagonal/>
    </border>
  </borders>
  <cellStyleXfs count="1">
    <xf numFmtId="0" fontId="0" fillId="0" borderId="0"/>
  </cellStyleXfs>
  <cellXfs count="15">
    <xf numFmtId="0" fontId="0" fillId="0" borderId="0" xfId="0"/>
    <xf numFmtId="0" fontId="3" fillId="2" borderId="0" xfId="0" applyFont="1" applyFill="1" applyAlignment="1">
      <alignment vertical="center"/>
    </xf>
    <xf numFmtId="0" fontId="5" fillId="0" borderId="0" xfId="0" applyFont="1"/>
    <xf numFmtId="0" fontId="5" fillId="0" borderId="0" xfId="0" applyFont="1" applyAlignment="1">
      <alignment vertical="center"/>
    </xf>
    <xf numFmtId="0" fontId="5" fillId="4" borderId="0" xfId="0" applyFont="1" applyFill="1" applyAlignment="1">
      <alignment vertical="center"/>
    </xf>
    <xf numFmtId="0" fontId="6" fillId="0" borderId="0" xfId="0" applyFont="1" applyAlignment="1">
      <alignment horizontal="center" vertical="center"/>
    </xf>
    <xf numFmtId="0" fontId="5" fillId="0" borderId="0" xfId="0" applyFont="1" applyAlignment="1">
      <alignment vertical="top" wrapText="1"/>
    </xf>
    <xf numFmtId="0" fontId="5" fillId="7" borderId="0" xfId="0" applyFont="1" applyFill="1" applyAlignment="1">
      <alignment vertical="top" wrapText="1"/>
    </xf>
    <xf numFmtId="164" fontId="5" fillId="7" borderId="0" xfId="0" applyNumberFormat="1" applyFont="1" applyFill="1" applyAlignment="1">
      <alignment vertical="top" wrapText="1"/>
    </xf>
    <xf numFmtId="0" fontId="1" fillId="2" borderId="0" xfId="0" applyFont="1" applyFill="1" applyAlignment="1">
      <alignment vertical="center"/>
    </xf>
    <xf numFmtId="0" fontId="2" fillId="3" borderId="0" xfId="0" applyFont="1" applyFill="1" applyAlignment="1">
      <alignment vertical="center"/>
    </xf>
    <xf numFmtId="0" fontId="3" fillId="2" borderId="0" xfId="0" applyFont="1" applyFill="1" applyAlignment="1">
      <alignment vertical="center"/>
    </xf>
    <xf numFmtId="0" fontId="4" fillId="3" borderId="0" xfId="0" applyFont="1" applyFill="1" applyAlignment="1">
      <alignment vertical="center" wrapText="1"/>
    </xf>
    <xf numFmtId="0" fontId="7" fillId="5" borderId="0" xfId="0" applyFont="1" applyFill="1" applyAlignment="1">
      <alignment vertical="center" wrapText="1"/>
    </xf>
    <xf numFmtId="0" fontId="8" fillId="6"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 ns2:uid="{00000000-000C-0000-FFFF-FFFF00000000}" name="TestCasesTable" displayName="TestCasesTable" ref="A5:N273" totalsRowShown="0">
  <tableColumns count="14">
    <tableColumn id="1" ns3:uid="{00000000-0010-0000-0000-000001000000}" name="Test Case ID"/>
    <tableColumn id="2" ns3:uid="{00000000-0010-0000-0000-000002000000}" name="Section / Module"/>
    <tableColumn id="3" ns3:uid="{00000000-0010-0000-0000-000003000000}" name="Feature"/>
    <tableColumn id="4" ns3:uid="{00000000-0010-0000-0000-000004000000}" name="Requirement Type"/>
    <tableColumn id="5" ns3:uid="{00000000-0010-0000-0000-000005000000}" name="Test Type"/>
    <tableColumn id="6" ns3:uid="{00000000-0010-0000-0000-000006000000}" name="Test Case Description"/>
    <tableColumn id="7" ns3:uid="{00000000-0010-0000-0000-000007000000}" name="Manual Steps"/>
    <tableColumn id="8" ns3:uid="{00000000-0010-0000-0000-000008000000}" name="Expected Result"/>
    <tableColumn id="9" ns3:uid="{00000000-0010-0000-0000-000009000000}" name="Pass/Fail"/>
    <tableColumn id="10" ns3:uid="{00000000-0010-0000-0000-00000A000000}" name="Comments"/>
    <tableColumn id="11" ns3:uid="{00000000-0010-0000-0000-00000B000000}" name="Tested By"/>
    <tableColumn id="12" ns3:uid="{00000000-0010-0000-0000-00000C000000}" name="Test Date"/>
    <tableColumn id="13" ns3:uid="{00000000-0010-0000-0000-00000D000000}" name="Defect ID"/>
    <tableColumn id="14" ns3:uid="{00000000-0010-0000-0000-00000E000000}" name="Evidence Refer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00000000-0001-0000-0000-000000000000}">
  <dimension ref="A1:H30"/>
  <sheetViews>
    <sheetView workbookViewId="0">
      <pane ySplit="2" topLeftCell="A3" activePane="bottomLeft" state="frozen"/>
      <selection pane="bottomLeft" sqref="A1:H1"/>
    </sheetView>
  </sheetViews>
  <sheetFormatPr defaultColWidth="8.875" defaultRowHeight="15"/>
  <cols>
    <col min="1" max="1" width="35" customWidth="1"/>
    <col min="2" max="2" width="14" customWidth="1"/>
    <col min="3" max="3" width="4" customWidth="1"/>
    <col min="4" max="8" width="17" customWidth="1"/>
  </cols>
  <sheetData>
    <row r="1" spans="1:8" ht="33.950000000000003" customHeight="1">
      <c r="A1" s="11" t="s">
        <v>0</v>
      </c>
      <c r="B1" s="11"/>
      <c r="C1" s="11"/>
      <c r="D1" s="11"/>
      <c r="E1" s="11"/>
      <c r="F1" s="11"/>
      <c r="G1" s="11"/>
      <c r="H1" s="11"/>
    </row>
    <row r="2" spans="1:8" ht="42" customHeight="1">
      <c r="A2" s="12" t="s">
        <v>1</v>
      </c>
      <c r="B2" s="12"/>
      <c r="C2" s="12"/>
      <c r="D2" s="12"/>
      <c r="E2" s="12"/>
      <c r="F2" s="12"/>
      <c r="G2" s="12"/>
      <c r="H2" s="12"/>
    </row>
    <row r="3" spans="1:8">
      <c r="A3" s="3"/>
      <c r="B3" s="3"/>
      <c r="C3" s="3"/>
      <c r="D3" s="3"/>
      <c r="E3" s="3"/>
      <c r="F3" s="3"/>
      <c r="G3" s="3"/>
      <c r="H3" s="3"/>
    </row>
    <row r="4" spans="1:8">
      <c r="A4" s="1" t="s">
        <v>2</v>
      </c>
      <c r="B4" s="1" t="s">
        <v>3</v>
      </c>
      <c r="C4" s="3"/>
      <c r="D4" s="1" t="s">
        <v>4</v>
      </c>
      <c r="E4" s="1" t="s">
        <v>3</v>
      </c>
      <c r="F4" s="3"/>
      <c r="G4" s="3"/>
      <c r="H4" s="3"/>
    </row>
    <row r="5" spans="1:8">
      <c r="A5" s="4" t="s">
        <v>5</v>
      </c>
      <c r="B5" s="5">
        <f>COUNTA('Test Cases'!$A$6:$A$273)</f>
        <v>268</v>
      </c>
      <c r="C5" s="3"/>
      <c r="D5" s="4" t="s">
        <v>6</v>
      </c>
      <c r="E5" s="5">
        <f>COUNTIF('Test Cases'!$D$6:$D$273,"Functional")</f>
        <v>223</v>
      </c>
      <c r="F5" s="3"/>
      <c r="G5" s="3"/>
      <c r="H5" s="3"/>
    </row>
    <row r="6" spans="1:8">
      <c r="A6" s="4" t="s">
        <v>7</v>
      </c>
      <c r="B6" s="5">
        <f>COUNTIF('Test Cases'!$I$6:$I$273,"Pass")</f>
        <v>14</v>
      </c>
      <c r="C6" s="3"/>
      <c r="D6" s="4" t="s">
        <v>8</v>
      </c>
      <c r="E6" s="5">
        <f>COUNTIF('Test Cases'!$D$6:$D$273,"Non-functional")</f>
        <v>45</v>
      </c>
      <c r="F6" s="3"/>
      <c r="G6" s="3"/>
      <c r="H6" s="3"/>
    </row>
    <row r="7" spans="1:8">
      <c r="A7" s="4" t="s">
        <v>9</v>
      </c>
      <c r="B7" s="5">
        <f>COUNTIF('Test Cases'!$I$6:$I$273,"Fail")</f>
        <v>1</v>
      </c>
      <c r="C7" s="3"/>
      <c r="D7" s="3"/>
      <c r="E7" s="3"/>
      <c r="F7" s="3"/>
      <c r="G7" s="3"/>
      <c r="H7" s="3"/>
    </row>
    <row r="8" spans="1:8">
      <c r="A8" s="4" t="s">
        <v>10</v>
      </c>
      <c r="B8" s="5">
        <f>COUNTBLANK('Test Cases'!$I$6:$I$273)</f>
        <v>253</v>
      </c>
      <c r="C8" s="3"/>
      <c r="D8" s="3"/>
      <c r="E8" s="3"/>
      <c r="F8" s="3"/>
      <c r="G8" s="3"/>
      <c r="H8" s="3"/>
    </row>
    <row r="9" spans="1:8">
      <c r="A9" s="3"/>
      <c r="B9" s="3"/>
      <c r="C9" s="3"/>
      <c r="D9" s="3"/>
      <c r="E9" s="3"/>
      <c r="F9" s="3"/>
      <c r="G9" s="3"/>
      <c r="H9" s="3"/>
    </row>
    <row r="10" spans="1:8">
      <c r="A10" s="3"/>
      <c r="B10" s="3"/>
      <c r="C10" s="3"/>
      <c r="D10" s="3"/>
      <c r="E10" s="3"/>
      <c r="F10" s="3"/>
      <c r="G10" s="3"/>
      <c r="H10" s="3"/>
    </row>
    <row r="11" spans="1:8">
      <c r="A11" s="1" t="s">
        <v>11</v>
      </c>
      <c r="B11" s="1" t="s">
        <v>12</v>
      </c>
      <c r="C11" s="3"/>
      <c r="D11" s="11" t="s">
        <v>13</v>
      </c>
      <c r="E11" s="11"/>
      <c r="F11" s="11"/>
      <c r="G11" s="11"/>
      <c r="H11" s="11"/>
    </row>
    <row r="12" spans="1:8">
      <c r="A12" s="4" t="s">
        <v>14</v>
      </c>
      <c r="B12" s="3">
        <v>8</v>
      </c>
      <c r="C12" s="3"/>
      <c r="D12" s="13" t="s">
        <v>15</v>
      </c>
      <c r="E12" s="13"/>
      <c r="F12" s="13"/>
      <c r="G12" s="13"/>
      <c r="H12" s="13"/>
    </row>
    <row r="13" spans="1:8">
      <c r="A13" s="4" t="s">
        <v>16</v>
      </c>
      <c r="B13" s="3">
        <v>13</v>
      </c>
      <c r="C13" s="3"/>
      <c r="D13" s="13"/>
      <c r="E13" s="13"/>
      <c r="F13" s="13"/>
      <c r="G13" s="13"/>
      <c r="H13" s="13"/>
    </row>
    <row r="14" spans="1:8">
      <c r="A14" s="4" t="s">
        <v>17</v>
      </c>
      <c r="B14" s="3">
        <v>9</v>
      </c>
      <c r="C14" s="3"/>
      <c r="D14" s="13"/>
      <c r="E14" s="13"/>
      <c r="F14" s="13"/>
      <c r="G14" s="13"/>
      <c r="H14" s="13"/>
    </row>
    <row r="15" spans="1:8">
      <c r="A15" s="4" t="s">
        <v>18</v>
      </c>
      <c r="B15" s="3">
        <v>8</v>
      </c>
      <c r="C15" s="3"/>
      <c r="D15" s="13"/>
      <c r="E15" s="13"/>
      <c r="F15" s="13"/>
      <c r="G15" s="13"/>
      <c r="H15" s="13"/>
    </row>
    <row r="16" spans="1:8">
      <c r="A16" s="4" t="s">
        <v>19</v>
      </c>
      <c r="B16" s="3">
        <v>20</v>
      </c>
      <c r="C16" s="3"/>
      <c r="D16" s="13"/>
      <c r="E16" s="13"/>
      <c r="F16" s="13"/>
      <c r="G16" s="13"/>
      <c r="H16" s="13"/>
    </row>
    <row r="17" spans="1:8">
      <c r="A17" s="4" t="s">
        <v>20</v>
      </c>
      <c r="B17" s="3">
        <v>20</v>
      </c>
      <c r="C17" s="3"/>
      <c r="D17" s="13"/>
      <c r="E17" s="13"/>
      <c r="F17" s="13"/>
      <c r="G17" s="13"/>
      <c r="H17" s="13"/>
    </row>
    <row r="18" spans="1:8">
      <c r="A18" s="4" t="s">
        <v>21</v>
      </c>
      <c r="B18" s="3">
        <v>13</v>
      </c>
      <c r="C18" s="3"/>
      <c r="D18" s="13"/>
      <c r="E18" s="13"/>
      <c r="F18" s="13"/>
      <c r="G18" s="13"/>
      <c r="H18" s="13"/>
    </row>
    <row r="19" spans="1:8">
      <c r="A19" s="4" t="s">
        <v>22</v>
      </c>
      <c r="B19" s="3">
        <v>19</v>
      </c>
      <c r="C19" s="3"/>
      <c r="D19" s="3"/>
      <c r="E19" s="3"/>
      <c r="F19" s="3"/>
      <c r="G19" s="3"/>
      <c r="H19" s="3"/>
    </row>
    <row r="20" spans="1:8">
      <c r="A20" s="4" t="s">
        <v>23</v>
      </c>
      <c r="B20" s="3">
        <v>18</v>
      </c>
      <c r="C20" s="3"/>
      <c r="D20" s="3"/>
      <c r="E20" s="3"/>
      <c r="F20" s="3"/>
      <c r="G20" s="3"/>
      <c r="H20" s="3"/>
    </row>
    <row r="21" spans="1:8">
      <c r="A21" s="4" t="s">
        <v>24</v>
      </c>
      <c r="B21" s="3">
        <v>11</v>
      </c>
      <c r="C21" s="3"/>
      <c r="D21" s="3"/>
      <c r="E21" s="3"/>
      <c r="F21" s="3"/>
      <c r="G21" s="3"/>
      <c r="H21" s="3"/>
    </row>
    <row r="22" spans="1:8">
      <c r="A22" s="4" t="s">
        <v>25</v>
      </c>
      <c r="B22" s="3">
        <v>16</v>
      </c>
      <c r="C22" s="3"/>
      <c r="D22" s="3"/>
      <c r="E22" s="3"/>
      <c r="F22" s="3"/>
      <c r="G22" s="3"/>
      <c r="H22" s="3"/>
    </row>
    <row r="23" spans="1:8">
      <c r="A23" s="4" t="s">
        <v>26</v>
      </c>
      <c r="B23" s="3">
        <v>18</v>
      </c>
      <c r="C23" s="3"/>
      <c r="D23" s="3"/>
      <c r="E23" s="3"/>
      <c r="F23" s="3"/>
      <c r="G23" s="3"/>
      <c r="H23" s="3"/>
    </row>
    <row r="24" spans="1:8">
      <c r="A24" s="4" t="s">
        <v>27</v>
      </c>
      <c r="B24" s="3">
        <v>23</v>
      </c>
      <c r="C24" s="3"/>
      <c r="D24" s="3"/>
      <c r="E24" s="3"/>
      <c r="F24" s="3"/>
      <c r="G24" s="3"/>
      <c r="H24" s="3"/>
    </row>
    <row r="25" spans="1:8">
      <c r="A25" s="4" t="s">
        <v>28</v>
      </c>
      <c r="B25" s="3">
        <v>14</v>
      </c>
      <c r="C25" s="3"/>
      <c r="D25" s="3"/>
      <c r="E25" s="3"/>
      <c r="F25" s="3"/>
      <c r="G25" s="3"/>
      <c r="H25" s="3"/>
    </row>
    <row r="26" spans="1:8">
      <c r="A26" s="4" t="s">
        <v>29</v>
      </c>
      <c r="B26" s="3">
        <v>12</v>
      </c>
      <c r="C26" s="3"/>
      <c r="D26" s="3"/>
      <c r="E26" s="3"/>
      <c r="F26" s="3"/>
      <c r="G26" s="3"/>
      <c r="H26" s="3"/>
    </row>
    <row r="27" spans="1:8">
      <c r="A27" s="4" t="s">
        <v>30</v>
      </c>
      <c r="B27" s="3">
        <v>18</v>
      </c>
      <c r="C27" s="3"/>
      <c r="D27" s="3"/>
      <c r="E27" s="3"/>
      <c r="F27" s="3"/>
      <c r="G27" s="3"/>
      <c r="H27" s="3"/>
    </row>
    <row r="28" spans="1:8">
      <c r="A28" s="4" t="s">
        <v>31</v>
      </c>
      <c r="B28" s="3">
        <v>10</v>
      </c>
      <c r="C28" s="3"/>
      <c r="D28" s="3"/>
      <c r="E28" s="3"/>
      <c r="F28" s="3"/>
      <c r="G28" s="3"/>
      <c r="H28" s="3"/>
    </row>
    <row r="29" spans="1:8">
      <c r="A29" s="4" t="s">
        <v>32</v>
      </c>
      <c r="B29" s="3">
        <v>12</v>
      </c>
      <c r="C29" s="3"/>
      <c r="D29" s="3"/>
      <c r="E29" s="3"/>
      <c r="F29" s="3"/>
      <c r="G29" s="3"/>
      <c r="H29" s="3"/>
    </row>
    <row r="30" spans="1:8">
      <c r="A30" s="4" t="s">
        <v>33</v>
      </c>
      <c r="B30" s="3">
        <v>6</v>
      </c>
      <c r="C30" s="3"/>
      <c r="D30" s="3"/>
      <c r="E30" s="3"/>
      <c r="F30" s="3"/>
      <c r="G30" s="3"/>
      <c r="H30" s="3"/>
    </row>
  </sheetData>
  <mergeCells count="4">
    <mergeCell ref="A1:H1"/>
    <mergeCell ref="A2:H2"/>
    <mergeCell ref="D11:H11"/>
    <mergeCell ref="D12:H18"/>
  </mergeCells>
  <pageMargins left="0.7" right="0.7" top="0.75" bottom="0.75" header="0.3" footer="0.3"/>
</worksheet>
</file>

<file path=xl/worksheets/sheet2.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100-000000000000}">
  <dimension ref="A1:N273"/>
  <sheetViews>
    <sheetView tabSelected="1" workbookViewId="0">
      <pane xSplit="2" ySplit="5" topLeftCell="E18" activePane="bottomRight" state="frozen"/>
      <selection pane="bottomRight" activeCell="L68" sqref="L68:L69"/>
      <selection pane="bottomLeft"/>
      <selection pane="topRight"/>
    </sheetView>
  </sheetViews>
  <sheetFormatPr defaultColWidth="8.875" defaultRowHeight="15"/>
  <cols>
    <col min="1" max="1" width="15" customWidth="1"/>
    <col min="2" max="2" width="31" customWidth="1"/>
    <col min="3" max="3" width="24" customWidth="1"/>
    <col min="4" max="4" width="17" customWidth="1"/>
    <col min="5" max="5" width="16" customWidth="1"/>
    <col min="6" max="6" width="42" customWidth="1"/>
    <col min="7" max="7" width="52" customWidth="1"/>
    <col min="8" max="8" width="45" customWidth="1"/>
    <col min="9" max="9" width="12" customWidth="1"/>
    <col min="10" max="10" width="28" customWidth="1"/>
    <col min="11" max="11" width="18" customWidth="1"/>
    <col min="12" max="12" width="15" customWidth="1"/>
    <col min="13" max="13" width="16" customWidth="1"/>
    <col min="14" max="14" width="23" customWidth="1"/>
  </cols>
  <sheetData>
    <row r="1" spans="1:14" ht="33.950000000000003" customHeight="1">
      <c r="A1" s="9" t="s">
        <v>34</v>
      </c>
      <c r="B1" s="9"/>
      <c r="C1" s="9"/>
      <c r="D1" s="9"/>
      <c r="E1" s="9"/>
      <c r="F1" s="9"/>
      <c r="G1" s="9"/>
      <c r="H1" s="9"/>
      <c r="I1" s="9"/>
      <c r="J1" s="9"/>
      <c r="K1" s="9"/>
      <c r="L1" s="9"/>
      <c r="M1" s="9"/>
      <c r="N1" s="9"/>
    </row>
    <row r="2" spans="1:14" ht="27.95" customHeight="1">
      <c r="A2" s="10" t="s">
        <v>35</v>
      </c>
      <c r="B2" s="10"/>
      <c r="C2" s="10"/>
      <c r="D2" s="10"/>
      <c r="E2" s="10"/>
      <c r="F2" s="10"/>
      <c r="G2" s="10"/>
      <c r="H2" s="10"/>
      <c r="I2" s="10"/>
      <c r="J2" s="10"/>
      <c r="K2" s="10"/>
      <c r="L2" s="10"/>
      <c r="M2" s="10"/>
      <c r="N2" s="10"/>
    </row>
    <row r="3" spans="1:14" ht="26.1" customHeight="1">
      <c r="A3" s="14" t="s">
        <v>36</v>
      </c>
      <c r="B3" s="14"/>
      <c r="C3" s="14"/>
      <c r="D3" s="14"/>
      <c r="E3" s="14"/>
      <c r="F3" s="14"/>
      <c r="G3" s="14"/>
      <c r="H3" s="14"/>
      <c r="I3" s="14"/>
      <c r="J3" s="14"/>
      <c r="K3" s="14"/>
      <c r="L3" s="14"/>
      <c r="M3" s="14"/>
      <c r="N3" s="14"/>
    </row>
    <row r="5" spans="1:14" ht="33.950000000000003" customHeight="1">
      <c r="A5" s="2" t="s">
        <v>37</v>
      </c>
      <c r="B5" s="2" t="s">
        <v>38</v>
      </c>
      <c r="C5" s="2" t="s">
        <v>39</v>
      </c>
      <c r="D5" s="2" t="s">
        <v>40</v>
      </c>
      <c r="E5" s="2" t="s">
        <v>41</v>
      </c>
      <c r="F5" s="2" t="s">
        <v>42</v>
      </c>
      <c r="G5" s="2" t="s">
        <v>43</v>
      </c>
      <c r="H5" s="2" t="s">
        <v>44</v>
      </c>
      <c r="I5" s="2" t="s">
        <v>45</v>
      </c>
      <c r="J5" s="2" t="s">
        <v>46</v>
      </c>
      <c r="K5" s="2" t="s">
        <v>47</v>
      </c>
      <c r="L5" s="2" t="s">
        <v>48</v>
      </c>
      <c r="M5" s="2" t="s">
        <v>49</v>
      </c>
      <c r="N5" s="2" t="s">
        <v>50</v>
      </c>
    </row>
    <row r="6" spans="1:14" ht="24" customHeight="1">
      <c r="A6" s="6" t="s">
        <v>51</v>
      </c>
      <c r="B6" s="6" t="s">
        <v>14</v>
      </c>
      <c r="C6" s="6" t="s">
        <v>52</v>
      </c>
      <c r="D6" s="6" t="s">
        <v>8</v>
      </c>
      <c r="E6" s="6" t="s">
        <v>53</v>
      </c>
      <c r="F6" s="6" t="s">
        <v>54</v>
      </c>
      <c r="G6" s="6" t="s">
        <v>55</v>
      </c>
      <c r="H6" s="6" t="s">
        <v>56</v>
      </c>
      <c r="I6" s="7" t="s">
        <v>57</v>
      </c>
      <c r="J6" s="7" t="s">
        <v>58</v>
      </c>
      <c r="K6" s="7" t="s">
        <v>59</v>
      </c>
      <c r="L6" s="8"/>
      <c r="M6" s="7"/>
      <c r="N6" s="7"/>
    </row>
    <row r="7" spans="1:14" ht="24" customHeight="1">
      <c r="A7" s="6" t="s">
        <v>60</v>
      </c>
      <c r="B7" s="6" t="s">
        <v>14</v>
      </c>
      <c r="C7" s="6" t="s">
        <v>61</v>
      </c>
      <c r="D7" s="6" t="s">
        <v>8</v>
      </c>
      <c r="E7" s="6" t="s">
        <v>62</v>
      </c>
      <c r="F7" s="6" t="s">
        <v>63</v>
      </c>
      <c r="G7" s="6" t="s">
        <v>64</v>
      </c>
      <c r="H7" s="6" t="s">
        <v>65</v>
      </c>
      <c r="I7" s="7" t="s">
        <v>57</v>
      </c>
      <c r="J7" s="7"/>
      <c r="K7" s="7" t="s">
        <v>59</v>
      </c>
      <c r="L7" s="8"/>
      <c r="M7" s="7"/>
      <c r="N7" s="7"/>
    </row>
    <row r="8" spans="1:14" ht="15" customHeight="1">
      <c r="A8" s="6" t="s">
        <v>66</v>
      </c>
      <c r="B8" s="6" t="s">
        <v>14</v>
      </c>
      <c r="C8" s="6" t="s">
        <v>67</v>
      </c>
      <c r="D8" s="6" t="s">
        <v>8</v>
      </c>
      <c r="E8" s="6" t="s">
        <v>68</v>
      </c>
      <c r="F8" s="6" t="s">
        <v>69</v>
      </c>
      <c r="G8" s="6" t="s">
        <v>70</v>
      </c>
      <c r="H8" s="6" t="s">
        <v>71</v>
      </c>
      <c r="I8" s="7" t="s">
        <v>57</v>
      </c>
      <c r="J8" s="7"/>
      <c r="K8" s="7" t="s">
        <v>59</v>
      </c>
      <c r="L8" s="8"/>
      <c r="M8" s="7"/>
      <c r="N8" s="7"/>
    </row>
    <row r="9" spans="1:14" ht="24" customHeight="1">
      <c r="A9" s="6" t="s">
        <v>72</v>
      </c>
      <c r="B9" s="6" t="s">
        <v>14</v>
      </c>
      <c r="C9" s="6" t="s">
        <v>73</v>
      </c>
      <c r="D9" s="6" t="s">
        <v>8</v>
      </c>
      <c r="E9" s="6" t="s">
        <v>74</v>
      </c>
      <c r="F9" s="6" t="s">
        <v>75</v>
      </c>
      <c r="G9" s="6" t="s">
        <v>76</v>
      </c>
      <c r="H9" s="6" t="s">
        <v>77</v>
      </c>
      <c r="I9" s="7" t="s">
        <v>57</v>
      </c>
      <c r="J9" s="7"/>
      <c r="K9" s="7" t="s">
        <v>59</v>
      </c>
      <c r="L9" s="8"/>
      <c r="M9" s="7"/>
      <c r="N9" s="7"/>
    </row>
    <row r="10" spans="1:14" ht="24" customHeight="1">
      <c r="A10" s="6" t="s">
        <v>78</v>
      </c>
      <c r="B10" s="6" t="s">
        <v>14</v>
      </c>
      <c r="C10" s="6" t="s">
        <v>79</v>
      </c>
      <c r="D10" s="6" t="s">
        <v>6</v>
      </c>
      <c r="E10" s="6" t="s">
        <v>80</v>
      </c>
      <c r="F10" s="6" t="s">
        <v>81</v>
      </c>
      <c r="G10" s="6" t="s">
        <v>82</v>
      </c>
      <c r="H10" s="6" t="s">
        <v>83</v>
      </c>
      <c r="I10" s="7" t="s">
        <v>57</v>
      </c>
      <c r="J10" s="7"/>
      <c r="K10" s="7" t="s">
        <v>59</v>
      </c>
      <c r="L10" s="8"/>
      <c r="M10" s="7"/>
      <c r="N10" s="7"/>
    </row>
    <row r="11" spans="1:14" ht="24" customHeight="1">
      <c r="A11" s="6" t="s">
        <v>84</v>
      </c>
      <c r="B11" s="6" t="s">
        <v>14</v>
      </c>
      <c r="C11" s="6" t="s">
        <v>85</v>
      </c>
      <c r="D11" s="6" t="s">
        <v>8</v>
      </c>
      <c r="E11" s="6" t="s">
        <v>86</v>
      </c>
      <c r="F11" s="6" t="s">
        <v>87</v>
      </c>
      <c r="G11" s="6" t="s">
        <v>88</v>
      </c>
      <c r="H11" s="6" t="s">
        <v>89</v>
      </c>
      <c r="I11" s="7"/>
      <c r="J11" s="7"/>
      <c r="K11" s="7"/>
      <c r="L11" s="8"/>
      <c r="M11" s="7"/>
      <c r="N11" s="7"/>
    </row>
    <row r="12" spans="1:14" ht="15" customHeight="1">
      <c r="A12" s="6" t="s">
        <v>90</v>
      </c>
      <c r="B12" s="6" t="s">
        <v>14</v>
      </c>
      <c r="C12" s="6" t="s">
        <v>91</v>
      </c>
      <c r="D12" s="6" t="s">
        <v>6</v>
      </c>
      <c r="E12" s="6" t="s">
        <v>92</v>
      </c>
      <c r="F12" s="6" t="s">
        <v>93</v>
      </c>
      <c r="G12" s="6" t="s">
        <v>94</v>
      </c>
      <c r="H12" s="6" t="s">
        <v>95</v>
      </c>
      <c r="I12" s="7"/>
      <c r="J12" s="7"/>
      <c r="K12" s="7"/>
      <c r="L12" s="8"/>
      <c r="M12" s="7"/>
      <c r="N12" s="7"/>
    </row>
    <row r="13" spans="1:14" ht="24" customHeight="1">
      <c r="A13" s="6" t="s">
        <v>96</v>
      </c>
      <c r="B13" s="6" t="s">
        <v>14</v>
      </c>
      <c r="C13" s="6" t="s">
        <v>97</v>
      </c>
      <c r="D13" s="6" t="s">
        <v>8</v>
      </c>
      <c r="E13" s="6" t="s">
        <v>98</v>
      </c>
      <c r="F13" s="6" t="s">
        <v>99</v>
      </c>
      <c r="G13" s="6" t="s">
        <v>100</v>
      </c>
      <c r="H13" s="6" t="s">
        <v>101</v>
      </c>
      <c r="I13" s="7"/>
      <c r="J13" s="7"/>
      <c r="K13" s="7"/>
      <c r="L13" s="8"/>
      <c r="M13" s="7"/>
      <c r="N13" s="7"/>
    </row>
    <row r="14" spans="1:14" ht="24" customHeight="1">
      <c r="A14" s="6" t="s">
        <v>102</v>
      </c>
      <c r="B14" s="6" t="s">
        <v>16</v>
      </c>
      <c r="C14" s="6" t="s">
        <v>103</v>
      </c>
      <c r="D14" s="6" t="s">
        <v>6</v>
      </c>
      <c r="E14" s="6" t="s">
        <v>6</v>
      </c>
      <c r="F14" s="6" t="s">
        <v>104</v>
      </c>
      <c r="G14" s="6" t="s">
        <v>105</v>
      </c>
      <c r="H14" s="6" t="s">
        <v>106</v>
      </c>
      <c r="I14" s="7" t="s">
        <v>57</v>
      </c>
      <c r="J14" s="7"/>
      <c r="K14" s="7" t="s">
        <v>59</v>
      </c>
      <c r="L14" s="8"/>
      <c r="M14" s="7"/>
      <c r="N14" s="7"/>
    </row>
    <row r="15" spans="1:14" ht="24" customHeight="1">
      <c r="A15" s="6" t="s">
        <v>107</v>
      </c>
      <c r="B15" s="6" t="s">
        <v>16</v>
      </c>
      <c r="C15" s="6" t="s">
        <v>108</v>
      </c>
      <c r="D15" s="6" t="s">
        <v>6</v>
      </c>
      <c r="E15" s="6" t="s">
        <v>109</v>
      </c>
      <c r="F15" s="6" t="s">
        <v>110</v>
      </c>
      <c r="G15" s="6" t="s">
        <v>111</v>
      </c>
      <c r="H15" s="6" t="s">
        <v>112</v>
      </c>
      <c r="I15" s="7" t="s">
        <v>57</v>
      </c>
      <c r="J15" s="7" t="s">
        <v>113</v>
      </c>
      <c r="K15" s="7" t="s">
        <v>59</v>
      </c>
      <c r="L15" s="8"/>
      <c r="M15" s="7"/>
      <c r="N15" s="7"/>
    </row>
    <row r="16" spans="1:14" ht="24" customHeight="1">
      <c r="A16" s="6" t="s">
        <v>114</v>
      </c>
      <c r="B16" s="6" t="s">
        <v>16</v>
      </c>
      <c r="C16" s="6" t="s">
        <v>115</v>
      </c>
      <c r="D16" s="6" t="s">
        <v>8</v>
      </c>
      <c r="E16" s="6" t="s">
        <v>98</v>
      </c>
      <c r="F16" s="6" t="s">
        <v>116</v>
      </c>
      <c r="G16" s="6" t="s">
        <v>117</v>
      </c>
      <c r="H16" s="6" t="s">
        <v>118</v>
      </c>
      <c r="I16" s="7" t="s">
        <v>57</v>
      </c>
      <c r="J16" s="7"/>
      <c r="K16" s="7" t="s">
        <v>59</v>
      </c>
      <c r="L16" s="8"/>
      <c r="M16" s="7"/>
      <c r="N16" s="7"/>
    </row>
    <row r="17" spans="1:14" ht="24" customHeight="1">
      <c r="A17" s="6" t="s">
        <v>119</v>
      </c>
      <c r="B17" s="6" t="s">
        <v>16</v>
      </c>
      <c r="C17" s="6" t="s">
        <v>120</v>
      </c>
      <c r="D17" s="6" t="s">
        <v>6</v>
      </c>
      <c r="E17" s="6" t="s">
        <v>6</v>
      </c>
      <c r="F17" s="6" t="s">
        <v>121</v>
      </c>
      <c r="G17" s="6" t="s">
        <v>122</v>
      </c>
      <c r="H17" s="6" t="s">
        <v>123</v>
      </c>
      <c r="I17" s="7"/>
      <c r="J17" s="7"/>
      <c r="K17" s="7"/>
      <c r="L17" s="8"/>
      <c r="M17" s="7"/>
      <c r="N17" s="7"/>
    </row>
    <row r="18" spans="1:14" ht="24" customHeight="1">
      <c r="A18" s="6" t="s">
        <v>124</v>
      </c>
      <c r="B18" s="6" t="s">
        <v>16</v>
      </c>
      <c r="C18" s="6" t="s">
        <v>125</v>
      </c>
      <c r="D18" s="6" t="s">
        <v>6</v>
      </c>
      <c r="E18" s="6" t="s">
        <v>109</v>
      </c>
      <c r="F18" s="6" t="s">
        <v>126</v>
      </c>
      <c r="G18" s="6" t="s">
        <v>127</v>
      </c>
      <c r="H18" s="6" t="s">
        <v>128</v>
      </c>
      <c r="I18" s="7"/>
      <c r="J18" s="7"/>
      <c r="K18" s="7"/>
      <c r="L18" s="8"/>
      <c r="M18" s="7"/>
      <c r="N18" s="7"/>
    </row>
    <row r="19" spans="1:14" ht="24" customHeight="1">
      <c r="A19" s="6" t="s">
        <v>129</v>
      </c>
      <c r="B19" s="6" t="s">
        <v>16</v>
      </c>
      <c r="C19" s="6" t="s">
        <v>130</v>
      </c>
      <c r="D19" s="6" t="s">
        <v>6</v>
      </c>
      <c r="E19" s="6" t="s">
        <v>6</v>
      </c>
      <c r="F19" s="6" t="s">
        <v>131</v>
      </c>
      <c r="G19" s="6" t="s">
        <v>132</v>
      </c>
      <c r="H19" s="6" t="s">
        <v>133</v>
      </c>
      <c r="I19" s="7"/>
      <c r="J19" s="7"/>
      <c r="K19" s="7"/>
      <c r="L19" s="8"/>
      <c r="M19" s="7"/>
      <c r="N19" s="7"/>
    </row>
    <row r="20" spans="1:14" ht="24" customHeight="1">
      <c r="A20" s="6" t="s">
        <v>134</v>
      </c>
      <c r="B20" s="6" t="s">
        <v>16</v>
      </c>
      <c r="C20" s="6" t="s">
        <v>135</v>
      </c>
      <c r="D20" s="6" t="s">
        <v>6</v>
      </c>
      <c r="E20" s="6" t="s">
        <v>136</v>
      </c>
      <c r="F20" s="6" t="s">
        <v>137</v>
      </c>
      <c r="G20" s="6" t="s">
        <v>138</v>
      </c>
      <c r="H20" s="6" t="s">
        <v>139</v>
      </c>
      <c r="I20" s="7"/>
      <c r="J20" s="7"/>
      <c r="K20" s="7"/>
      <c r="L20" s="8"/>
      <c r="M20" s="7"/>
      <c r="N20" s="7"/>
    </row>
    <row r="21" spans="1:14" ht="24" customHeight="1">
      <c r="A21" s="6" t="s">
        <v>140</v>
      </c>
      <c r="B21" s="6" t="s">
        <v>16</v>
      </c>
      <c r="C21" s="6" t="s">
        <v>141</v>
      </c>
      <c r="D21" s="6" t="s">
        <v>8</v>
      </c>
      <c r="E21" s="6" t="s">
        <v>98</v>
      </c>
      <c r="F21" s="6" t="s">
        <v>142</v>
      </c>
      <c r="G21" s="6" t="s">
        <v>143</v>
      </c>
      <c r="H21" s="6" t="s">
        <v>144</v>
      </c>
      <c r="I21" s="7"/>
      <c r="J21" s="7"/>
      <c r="K21" s="7"/>
      <c r="L21" s="8"/>
      <c r="M21" s="7"/>
      <c r="N21" s="7"/>
    </row>
    <row r="22" spans="1:14" ht="24" customHeight="1">
      <c r="A22" s="6" t="s">
        <v>145</v>
      </c>
      <c r="B22" s="6" t="s">
        <v>16</v>
      </c>
      <c r="C22" s="6" t="s">
        <v>146</v>
      </c>
      <c r="D22" s="6" t="s">
        <v>8</v>
      </c>
      <c r="E22" s="6" t="s">
        <v>98</v>
      </c>
      <c r="F22" s="6" t="s">
        <v>147</v>
      </c>
      <c r="G22" s="6" t="s">
        <v>148</v>
      </c>
      <c r="H22" s="6" t="s">
        <v>149</v>
      </c>
      <c r="I22" s="7" t="s">
        <v>57</v>
      </c>
      <c r="J22" s="7"/>
      <c r="K22" s="7" t="s">
        <v>59</v>
      </c>
      <c r="L22" s="8"/>
      <c r="M22" s="7"/>
      <c r="N22" s="7"/>
    </row>
    <row r="23" spans="1:14" ht="24" customHeight="1">
      <c r="A23" s="6" t="s">
        <v>150</v>
      </c>
      <c r="B23" s="6" t="s">
        <v>16</v>
      </c>
      <c r="C23" s="6" t="s">
        <v>151</v>
      </c>
      <c r="D23" s="6" t="s">
        <v>8</v>
      </c>
      <c r="E23" s="6" t="s">
        <v>152</v>
      </c>
      <c r="F23" s="6" t="s">
        <v>153</v>
      </c>
      <c r="G23" s="6" t="s">
        <v>154</v>
      </c>
      <c r="H23" s="6" t="s">
        <v>155</v>
      </c>
      <c r="I23" s="7" t="s">
        <v>57</v>
      </c>
      <c r="J23" s="7"/>
      <c r="K23" s="7" t="s">
        <v>59</v>
      </c>
      <c r="L23" s="8"/>
      <c r="M23" s="7"/>
      <c r="N23" s="7"/>
    </row>
    <row r="24" spans="1:14" ht="24" customHeight="1">
      <c r="A24" s="6" t="s">
        <v>156</v>
      </c>
      <c r="B24" s="6" t="s">
        <v>16</v>
      </c>
      <c r="C24" s="6" t="s">
        <v>157</v>
      </c>
      <c r="D24" s="6" t="s">
        <v>8</v>
      </c>
      <c r="E24" s="6" t="s">
        <v>152</v>
      </c>
      <c r="F24" s="6" t="s">
        <v>158</v>
      </c>
      <c r="G24" s="6" t="s">
        <v>159</v>
      </c>
      <c r="H24" s="6" t="s">
        <v>160</v>
      </c>
      <c r="I24" s="7" t="s">
        <v>57</v>
      </c>
      <c r="J24" s="7"/>
      <c r="K24" s="7" t="s">
        <v>59</v>
      </c>
      <c r="L24" s="8"/>
      <c r="M24" s="7"/>
      <c r="N24" s="7"/>
    </row>
    <row r="25" spans="1:14" ht="24" customHeight="1">
      <c r="A25" s="6" t="s">
        <v>161</v>
      </c>
      <c r="B25" s="6" t="s">
        <v>16</v>
      </c>
      <c r="C25" s="6" t="s">
        <v>162</v>
      </c>
      <c r="D25" s="6" t="s">
        <v>8</v>
      </c>
      <c r="E25" s="6" t="s">
        <v>98</v>
      </c>
      <c r="F25" s="6" t="s">
        <v>163</v>
      </c>
      <c r="G25" s="6" t="s">
        <v>164</v>
      </c>
      <c r="H25" s="6" t="s">
        <v>165</v>
      </c>
      <c r="I25" s="7" t="s">
        <v>57</v>
      </c>
      <c r="J25" s="7"/>
      <c r="K25" s="7" t="s">
        <v>59</v>
      </c>
      <c r="L25" s="8"/>
      <c r="M25" s="7"/>
      <c r="N25" s="7"/>
    </row>
    <row r="26" spans="1:14" ht="24" customHeight="1">
      <c r="A26" s="6" t="s">
        <v>166</v>
      </c>
      <c r="B26" s="6" t="s">
        <v>16</v>
      </c>
      <c r="C26" s="6" t="s">
        <v>167</v>
      </c>
      <c r="D26" s="6" t="s">
        <v>8</v>
      </c>
      <c r="E26" s="6" t="s">
        <v>168</v>
      </c>
      <c r="F26" s="6" t="s">
        <v>169</v>
      </c>
      <c r="G26" s="6" t="s">
        <v>170</v>
      </c>
      <c r="H26" s="6" t="s">
        <v>171</v>
      </c>
      <c r="I26" s="7" t="s">
        <v>57</v>
      </c>
      <c r="J26" s="7"/>
      <c r="K26" s="7" t="s">
        <v>59</v>
      </c>
      <c r="L26" s="8"/>
      <c r="M26" s="7"/>
      <c r="N26" s="7"/>
    </row>
    <row r="27" spans="1:14" ht="24" customHeight="1">
      <c r="A27" s="6" t="s">
        <v>172</v>
      </c>
      <c r="B27" s="6" t="s">
        <v>17</v>
      </c>
      <c r="C27" s="6" t="s">
        <v>173</v>
      </c>
      <c r="D27" s="6" t="s">
        <v>6</v>
      </c>
      <c r="E27" s="6" t="s">
        <v>174</v>
      </c>
      <c r="F27" s="6" t="s">
        <v>175</v>
      </c>
      <c r="G27" s="6" t="s">
        <v>176</v>
      </c>
      <c r="H27" s="6" t="s">
        <v>177</v>
      </c>
      <c r="I27" s="7"/>
      <c r="J27" s="7"/>
      <c r="K27" s="7"/>
      <c r="L27" s="8"/>
      <c r="M27" s="7"/>
      <c r="N27" s="7"/>
    </row>
    <row r="28" spans="1:14" ht="24" customHeight="1">
      <c r="A28" s="6" t="s">
        <v>178</v>
      </c>
      <c r="B28" s="6" t="s">
        <v>17</v>
      </c>
      <c r="C28" s="6" t="s">
        <v>179</v>
      </c>
      <c r="D28" s="6" t="s">
        <v>6</v>
      </c>
      <c r="E28" s="6" t="s">
        <v>174</v>
      </c>
      <c r="F28" s="6" t="s">
        <v>180</v>
      </c>
      <c r="G28" s="6" t="s">
        <v>181</v>
      </c>
      <c r="H28" s="6" t="s">
        <v>182</v>
      </c>
      <c r="I28" s="7"/>
      <c r="J28" s="7"/>
      <c r="K28" s="7"/>
      <c r="L28" s="8"/>
      <c r="M28" s="7"/>
      <c r="N28" s="7"/>
    </row>
    <row r="29" spans="1:14" ht="15" customHeight="1">
      <c r="A29" s="6" t="s">
        <v>183</v>
      </c>
      <c r="B29" s="6" t="s">
        <v>17</v>
      </c>
      <c r="C29" s="6" t="s">
        <v>184</v>
      </c>
      <c r="D29" s="6" t="s">
        <v>6</v>
      </c>
      <c r="E29" s="6" t="s">
        <v>174</v>
      </c>
      <c r="F29" s="6" t="s">
        <v>185</v>
      </c>
      <c r="G29" s="6" t="s">
        <v>186</v>
      </c>
      <c r="H29" s="6" t="s">
        <v>187</v>
      </c>
      <c r="I29" s="7"/>
      <c r="J29" s="7"/>
      <c r="K29" s="7"/>
      <c r="L29" s="8"/>
      <c r="M29" s="7"/>
      <c r="N29" s="7"/>
    </row>
    <row r="30" spans="1:14" ht="24" customHeight="1">
      <c r="A30" s="6" t="s">
        <v>188</v>
      </c>
      <c r="B30" s="6" t="s">
        <v>17</v>
      </c>
      <c r="C30" s="6" t="s">
        <v>189</v>
      </c>
      <c r="D30" s="6" t="s">
        <v>6</v>
      </c>
      <c r="E30" s="6" t="s">
        <v>6</v>
      </c>
      <c r="F30" s="6" t="s">
        <v>190</v>
      </c>
      <c r="G30" s="6" t="s">
        <v>191</v>
      </c>
      <c r="H30" s="6" t="s">
        <v>192</v>
      </c>
      <c r="I30" s="7"/>
      <c r="J30" s="7"/>
      <c r="K30" s="7"/>
      <c r="L30" s="8"/>
      <c r="M30" s="7"/>
      <c r="N30" s="7"/>
    </row>
    <row r="31" spans="1:14" ht="48.0" customHeight="1">
      <c r="A31" s="6" t="s">
        <v>193</v>
      </c>
      <c r="B31" s="6" t="s">
        <v>17</v>
      </c>
      <c r="C31" s="6" t="inlineStr">
        <is>
          <t>Configuration permissions</t>
        </is>
      </c>
      <c r="D31" s="6" t="s">
        <v>6</v>
      </c>
      <c r="E31" s="6" t="s">
        <v>174</v>
      </c>
      <c r="F31" s="6" t="inlineStr">
        <is>
          <t>Verify configuration permissions and scope.</t>
        </is>
      </c>
      <c r="G31" s="6" t="inlineStr">
        <is>
          <t>Compare a Super Administrator with branch staff granted branch/category configuration and staff without those permissions. Test assigned and unrelated branches/divisions; attempt global settings as lower roles.</t>
        </is>
      </c>
      <c r="H31" s="6" t="inlineStr">
        <is>
          <t>Global system settings require system-administration access. Granted branch/category actions work only within assigned scope; unrelated writes are rejected.</t>
        </is>
      </c>
      <c r="I31" s="7"/>
      <c r="J31" s="7"/>
      <c r="K31" s="7"/>
      <c r="L31" s="8"/>
      <c r="M31" s="7"/>
      <c r="N31" s="7"/>
    </row>
    <row r="32" spans="1:14" ht="24" customHeight="1">
      <c r="A32" s="6" t="s">
        <v>198</v>
      </c>
      <c r="B32" s="6" t="s">
        <v>17</v>
      </c>
      <c r="C32" s="6" t="s">
        <v>199</v>
      </c>
      <c r="D32" s="6" t="s">
        <v>6</v>
      </c>
      <c r="E32" s="6" t="s">
        <v>174</v>
      </c>
      <c r="F32" s="6" t="s">
        <v>200</v>
      </c>
      <c r="G32" s="6" t="s">
        <v>201</v>
      </c>
      <c r="H32" s="6" t="s">
        <v>202</v>
      </c>
      <c r="I32" s="7"/>
      <c r="J32" s="7"/>
      <c r="K32" s="7"/>
      <c r="L32" s="8"/>
      <c r="M32" s="7"/>
      <c r="N32" s="7"/>
    </row>
    <row r="33" spans="1:14" ht="24" customHeight="1">
      <c r="A33" s="6" t="s">
        <v>203</v>
      </c>
      <c r="B33" s="6" t="s">
        <v>17</v>
      </c>
      <c r="C33" s="6" t="s">
        <v>204</v>
      </c>
      <c r="D33" s="6" t="s">
        <v>6</v>
      </c>
      <c r="E33" s="6" t="s">
        <v>6</v>
      </c>
      <c r="F33" s="6" t="s">
        <v>205</v>
      </c>
      <c r="G33" s="6" t="s">
        <v>206</v>
      </c>
      <c r="H33" s="6" t="s">
        <v>207</v>
      </c>
      <c r="I33" s="7"/>
      <c r="J33" s="7"/>
      <c r="K33" s="7"/>
      <c r="L33" s="8"/>
      <c r="M33" s="7"/>
      <c r="N33" s="7"/>
    </row>
    <row r="34" spans="1:14" ht="15" customHeight="1">
      <c r="A34" s="6" t="s">
        <v>208</v>
      </c>
      <c r="B34" s="6" t="s">
        <v>17</v>
      </c>
      <c r="C34" s="6" t="s">
        <v>209</v>
      </c>
      <c r="D34" s="6" t="s">
        <v>6</v>
      </c>
      <c r="E34" s="6" t="s">
        <v>109</v>
      </c>
      <c r="F34" s="6" t="s">
        <v>210</v>
      </c>
      <c r="G34" s="6" t="s">
        <v>211</v>
      </c>
      <c r="H34" s="6" t="s">
        <v>212</v>
      </c>
      <c r="I34" s="7"/>
      <c r="J34" s="7"/>
      <c r="K34" s="7"/>
      <c r="L34" s="8"/>
      <c r="M34" s="7"/>
      <c r="N34" s="7"/>
    </row>
    <row r="35" spans="1:14" ht="15" customHeight="1">
      <c r="A35" s="6" t="s">
        <v>213</v>
      </c>
      <c r="B35" s="6" t="s">
        <v>17</v>
      </c>
      <c r="C35" s="6" t="s">
        <v>214</v>
      </c>
      <c r="D35" s="6" t="s">
        <v>6</v>
      </c>
      <c r="E35" s="6" t="s">
        <v>215</v>
      </c>
      <c r="F35" s="6" t="s">
        <v>216</v>
      </c>
      <c r="G35" s="6" t="s">
        <v>217</v>
      </c>
      <c r="H35" s="6" t="s">
        <v>218</v>
      </c>
      <c r="I35" s="7"/>
      <c r="J35" s="7"/>
      <c r="K35" s="7"/>
      <c r="L35" s="8"/>
      <c r="M35" s="7"/>
      <c r="N35" s="7"/>
    </row>
    <row r="36" spans="1:14" ht="24" customHeight="1">
      <c r="A36" s="6" t="s">
        <v>219</v>
      </c>
      <c r="B36" s="6" t="s">
        <v>18</v>
      </c>
      <c r="C36" s="6" t="s">
        <v>220</v>
      </c>
      <c r="D36" s="6" t="s">
        <v>6</v>
      </c>
      <c r="E36" s="6" t="s">
        <v>6</v>
      </c>
      <c r="F36" s="6" t="s">
        <v>221</v>
      </c>
      <c r="G36" s="6" t="s">
        <v>222</v>
      </c>
      <c r="H36" s="6" t="s">
        <v>223</v>
      </c>
      <c r="I36" s="7"/>
      <c r="J36" s="7"/>
      <c r="K36" s="7"/>
      <c r="L36" s="8"/>
      <c r="M36" s="7"/>
      <c r="N36" s="7"/>
    </row>
    <row r="37" spans="1:14" ht="24" customHeight="1">
      <c r="A37" s="6" t="s">
        <v>224</v>
      </c>
      <c r="B37" s="6" t="s">
        <v>18</v>
      </c>
      <c r="C37" s="6" t="s">
        <v>225</v>
      </c>
      <c r="D37" s="6" t="s">
        <v>6</v>
      </c>
      <c r="E37" s="6" t="s">
        <v>226</v>
      </c>
      <c r="F37" s="6" t="s">
        <v>227</v>
      </c>
      <c r="G37" s="6" t="s">
        <v>228</v>
      </c>
      <c r="H37" s="6" t="s">
        <v>229</v>
      </c>
      <c r="I37" s="7"/>
      <c r="J37" s="7"/>
      <c r="K37" s="7"/>
      <c r="L37" s="8"/>
      <c r="M37" s="7"/>
      <c r="N37" s="7"/>
    </row>
    <row r="38" spans="1:14" ht="24" customHeight="1">
      <c r="A38" s="6" t="s">
        <v>230</v>
      </c>
      <c r="B38" s="6" t="s">
        <v>18</v>
      </c>
      <c r="C38" s="6" t="s">
        <v>231</v>
      </c>
      <c r="D38" s="6" t="s">
        <v>6</v>
      </c>
      <c r="E38" s="6" t="s">
        <v>6</v>
      </c>
      <c r="F38" s="6" t="s">
        <v>232</v>
      </c>
      <c r="G38" s="6" t="s">
        <v>233</v>
      </c>
      <c r="H38" s="6" t="s">
        <v>234</v>
      </c>
      <c r="I38" s="7"/>
      <c r="J38" s="7"/>
      <c r="K38" s="7"/>
      <c r="L38" s="8"/>
      <c r="M38" s="7"/>
      <c r="N38" s="7"/>
    </row>
    <row r="39" spans="1:14" ht="15" customHeight="1">
      <c r="A39" s="6" t="s">
        <v>235</v>
      </c>
      <c r="B39" s="6" t="s">
        <v>18</v>
      </c>
      <c r="C39" s="6" t="s">
        <v>236</v>
      </c>
      <c r="D39" s="6" t="s">
        <v>8</v>
      </c>
      <c r="E39" s="6" t="s">
        <v>98</v>
      </c>
      <c r="F39" s="6" t="s">
        <v>237</v>
      </c>
      <c r="G39" s="6" t="s">
        <v>238</v>
      </c>
      <c r="H39" s="6" t="s">
        <v>239</v>
      </c>
      <c r="I39" s="7"/>
      <c r="J39" s="7"/>
      <c r="K39" s="7"/>
      <c r="L39" s="8"/>
      <c r="M39" s="7"/>
      <c r="N39" s="7"/>
    </row>
    <row r="40" spans="1:14" ht="24" customHeight="1">
      <c r="A40" s="6" t="s">
        <v>240</v>
      </c>
      <c r="B40" s="6" t="s">
        <v>18</v>
      </c>
      <c r="C40" s="6" t="s">
        <v>241</v>
      </c>
      <c r="D40" s="6" t="s">
        <v>6</v>
      </c>
      <c r="E40" s="6" t="s">
        <v>6</v>
      </c>
      <c r="F40" s="6" t="s">
        <v>242</v>
      </c>
      <c r="G40" s="6" t="s">
        <v>243</v>
      </c>
      <c r="H40" s="6" t="s">
        <v>244</v>
      </c>
      <c r="I40" s="7"/>
      <c r="J40" s="7"/>
      <c r="K40" s="7"/>
      <c r="L40" s="8"/>
      <c r="M40" s="7"/>
      <c r="N40" s="7"/>
    </row>
    <row r="41" spans="1:14" ht="24" customHeight="1">
      <c r="A41" s="6" t="s">
        <v>245</v>
      </c>
      <c r="B41" s="6" t="s">
        <v>18</v>
      </c>
      <c r="C41" s="6" t="s">
        <v>246</v>
      </c>
      <c r="D41" s="6" t="s">
        <v>6</v>
      </c>
      <c r="E41" s="6" t="s">
        <v>6</v>
      </c>
      <c r="F41" s="6" t="s">
        <v>247</v>
      </c>
      <c r="G41" s="6" t="s">
        <v>248</v>
      </c>
      <c r="H41" s="6" t="s">
        <v>249</v>
      </c>
      <c r="I41" s="7"/>
      <c r="J41" s="7"/>
      <c r="K41" s="7"/>
      <c r="L41" s="8"/>
      <c r="M41" s="7"/>
      <c r="N41" s="7"/>
    </row>
    <row r="42" spans="1:14" ht="24" customHeight="1">
      <c r="A42" s="6" t="s">
        <v>250</v>
      </c>
      <c r="B42" s="6" t="s">
        <v>18</v>
      </c>
      <c r="C42" s="6" t="s">
        <v>251</v>
      </c>
      <c r="D42" s="6" t="s">
        <v>6</v>
      </c>
      <c r="E42" s="6" t="s">
        <v>6</v>
      </c>
      <c r="F42" s="6" t="s">
        <v>252</v>
      </c>
      <c r="G42" s="6" t="s">
        <v>253</v>
      </c>
      <c r="H42" s="6" t="s">
        <v>254</v>
      </c>
      <c r="I42" s="7"/>
      <c r="J42" s="7"/>
      <c r="K42" s="7"/>
      <c r="L42" s="8"/>
      <c r="M42" s="7"/>
      <c r="N42" s="7"/>
    </row>
    <row r="43" spans="1:14" ht="15" customHeight="1">
      <c r="A43" s="6" t="s">
        <v>255</v>
      </c>
      <c r="B43" s="6" t="s">
        <v>18</v>
      </c>
      <c r="C43" s="6" t="s">
        <v>256</v>
      </c>
      <c r="D43" s="6" t="s">
        <v>6</v>
      </c>
      <c r="E43" s="6" t="s">
        <v>257</v>
      </c>
      <c r="F43" s="6" t="s">
        <v>258</v>
      </c>
      <c r="G43" s="6" t="s">
        <v>259</v>
      </c>
      <c r="H43" s="6" t="s">
        <v>260</v>
      </c>
      <c r="I43" s="7"/>
      <c r="J43" s="7"/>
      <c r="K43" s="7"/>
      <c r="L43" s="8"/>
      <c r="M43" s="7"/>
      <c r="N43" s="7"/>
    </row>
    <row r="44" spans="1:14" ht="48.0" customHeight="1">
      <c r="A44" s="6" t="s">
        <v>261</v>
      </c>
      <c r="B44" s="6" t="s">
        <v>19</v>
      </c>
      <c r="C44" s="6" t="s">
        <v>262</v>
      </c>
      <c r="D44" s="6" t="s">
        <v>6</v>
      </c>
      <c r="E44" s="6" t="s">
        <v>6</v>
      </c>
      <c r="F44" s="6" t="inlineStr">
        <is>
          <t>Create a test division through guided setup.</t>
        </is>
      </c>
      <c r="G44" s="6" t="inlineStr">
        <is>
          <t>As Super Administrator, open Organization &amp; settings &gt; Business setup &gt; Divisions &amp; services. Add business / division with a unique code/name; complete required service, category and branch setup; save and reopen.</t>
        </is>
      </c>
      <c r="H44" s="6" t="inlineStr">
        <is>
          <t>The division and selected related records persist once. Reopening shows the saved configuration.</t>
        </is>
      </c>
      <c r="I44" s="7"/>
      <c r="J44" s="7"/>
      <c r="K44" s="7"/>
      <c r="L44" s="8"/>
      <c r="M44" s="7"/>
      <c r="N44" s="7"/>
    </row>
    <row r="45" spans="1:14" ht="24.0" customHeight="1">
      <c r="A45" s="6" t="s">
        <v>266</v>
      </c>
      <c r="B45" s="6" t="s">
        <v>19</v>
      </c>
      <c r="C45" s="6" t="s">
        <v>267</v>
      </c>
      <c r="D45" s="6" t="s">
        <v>6</v>
      </c>
      <c r="E45" s="6" t="s">
        <v>109</v>
      </c>
      <c r="F45" s="6" t="inlineStr">
        <is>
          <t>Reject missing and duplicate division identity.</t>
        </is>
      </c>
      <c r="G45" s="6" t="inlineStr">
        <is>
          <t>Attempt setup with a blank required name/code, then an existing division code. Save each attempt and refresh the division list.</t>
        </is>
      </c>
      <c r="H45" s="6" t="inlineStr">
        <is>
          <t>Each invalid save is rejected with a useful message; no duplicate or partial division is created.</t>
        </is>
      </c>
      <c r="I45" s="7"/>
      <c r="J45" s="7"/>
      <c r="K45" s="7"/>
      <c r="L45" s="8"/>
      <c r="M45" s="7"/>
      <c r="N45" s="7"/>
    </row>
    <row r="46" spans="1:14" ht="24.0" customHeight="1">
      <c r="A46" s="6" t="s">
        <v>271</v>
      </c>
      <c r="B46" s="6" t="s">
        <v>19</v>
      </c>
      <c r="C46" s="6" t="s">
        <v>272</v>
      </c>
      <c r="D46" s="6" t="s">
        <v>6</v>
      </c>
      <c r="E46" s="6" t="s">
        <v>6</v>
      </c>
      <c r="F46" s="6" t="inlineStr">
        <is>
          <t>Create and edit a division service.</t>
        </is>
      </c>
      <c r="G46" s="6" t="inlineStr">
        <is>
          <t>In Divisions &amp; services, select Add service. Enter valid service details and online visibility; save. Edit its name, save and reload.</t>
        </is>
      </c>
      <c r="H46" s="6" t="inlineStr">
        <is>
          <t>Service remains linked to its division; changed details persist without duplicate records.</t>
        </is>
      </c>
      <c r="I46" s="7"/>
      <c r="J46" s="7"/>
      <c r="K46" s="7"/>
      <c r="L46" s="8"/>
      <c r="M46" s="7"/>
      <c r="N46" s="7"/>
    </row>
    <row r="47" spans="1:14" ht="24.0" customHeight="1">
      <c r="A47" s="6" t="s">
        <v>276</v>
      </c>
      <c r="B47" s="6" t="s">
        <v>19</v>
      </c>
      <c r="C47" s="6" t="s">
        <v>277</v>
      </c>
      <c r="D47" s="6" t="s">
        <v>6</v>
      </c>
      <c r="E47" s="6" t="s">
        <v>6</v>
      </c>
      <c r="F47" s="6" t="inlineStr">
        <is>
          <t>Create a branch with eligible services.</t>
        </is>
      </c>
      <c r="G47" s="6" t="inlineStr">
        <is>
          <t>Open Business setup &gt; Branches. Add a unique test branch, select its division memberships and eligible services; save and reload.</t>
        </is>
      </c>
      <c r="H47" s="6" t="inlineStr">
        <is>
          <t>Branch, memberships and selected services persist. Services from unrelated divisions cannot be assigned.</t>
        </is>
      </c>
      <c r="I47" s="7"/>
      <c r="J47" s="7"/>
      <c r="K47" s="7"/>
      <c r="L47" s="8"/>
      <c r="M47" s="7"/>
      <c r="N47" s="7"/>
    </row>
    <row r="48" spans="1:14" ht="36.0" customHeight="1">
      <c r="A48" s="6" t="s">
        <v>281</v>
      </c>
      <c r="B48" s="6" t="s">
        <v>19</v>
      </c>
      <c r="C48" s="6" t="s">
        <v>282</v>
      </c>
      <c r="D48" s="6" t="s">
        <v>6</v>
      </c>
      <c r="E48" s="6" t="s">
        <v>6</v>
      </c>
      <c r="F48" s="6" t="inlineStr">
        <is>
          <t>Verify branch status persistence and scope.</t>
        </is>
      </c>
      <c r="G48" s="6" t="inlineStr">
        <is>
          <t>Using a test branch, deactivate and reactivate it in Branches; reload after each save. Check historical records and try the action as staff scoped to another branch.</t>
        </is>
      </c>
      <c r="H48" s="6" t="inlineStr">
        <is>
          <t>Status persists and history remains. Out-of-scope changes are rejected without changing status.</t>
        </is>
      </c>
      <c r="I48" s="7"/>
      <c r="J48" s="7"/>
      <c r="K48" s="7"/>
      <c r="L48" s="8"/>
      <c r="M48" s="7"/>
      <c r="N48" s="7"/>
    </row>
    <row r="49" spans="1:14" ht="36.0" customHeight="1">
      <c r="A49" s="6" t="s">
        <v>286</v>
      </c>
      <c r="B49" s="6" t="s">
        <v>19</v>
      </c>
      <c r="C49" s="6" t="s">
        <v>287</v>
      </c>
      <c r="D49" s="6" t="s">
        <v>6</v>
      </c>
      <c r="E49" s="6" t="s">
        <v>6</v>
      </c>
      <c r="F49" s="6" t="inlineStr">
        <is>
          <t>Save operating hours and a dated closure.</t>
        </is>
      </c>
      <c r="G49" s="6" t="inlineStr">
        <is>
          <t>Open Branch operations and select a test branch. Set weekday hours and add a closure. Save branch configuration, reload, then try a pickup on the closed date.</t>
        </is>
      </c>
      <c r="H49" s="6" t="inlineStr">
        <is>
          <t>Hours and closure persist; pickup validation applies the saved calendar and explains rejected dates.</t>
        </is>
      </c>
      <c r="I49" s="7"/>
      <c r="J49" s="7"/>
      <c r="K49" s="7"/>
      <c r="L49" s="8"/>
      <c r="M49" s="7"/>
      <c r="N49" s="7"/>
    </row>
    <row r="50" spans="1:14" ht="24.0" customHeight="1">
      <c r="A50" s="6" t="s">
        <v>291</v>
      </c>
      <c r="B50" s="6" t="s">
        <v>19</v>
      </c>
      <c r="C50" s="6" t="s">
        <v>292</v>
      </c>
      <c r="D50" s="6" t="s">
        <v>6</v>
      </c>
      <c r="E50" s="6" t="s">
        <v>6</v>
      </c>
      <c r="F50" s="6" t="inlineStr">
        <is>
          <t>Disable and re-enable a branch service.</t>
        </is>
      </c>
      <c r="G50" s="6" t="inlineStr">
        <is>
          <t>In Branch operations, clear an enabled service and save. Reload, enable the same service, save and reload again.</t>
        </is>
      </c>
      <c r="H50" s="6" t="inlineStr">
        <is>
          <t>The saved enabled state is restored without duplicate service mappings; unrelated services are unchanged.</t>
        </is>
      </c>
      <c r="I50" s="7"/>
      <c r="J50" s="7"/>
      <c r="K50" s="7"/>
      <c r="L50" s="8"/>
      <c r="M50" s="7"/>
      <c r="N50" s="7"/>
    </row>
    <row r="51" spans="1:14" ht="24.0" customHeight="1">
      <c r="A51" s="6" t="s">
        <v>296</v>
      </c>
      <c r="B51" s="6" t="s">
        <v>19</v>
      </c>
      <c r="C51" s="6" t="s">
        <v>297</v>
      </c>
      <c r="D51" s="6" t="s">
        <v>6</v>
      </c>
      <c r="E51" s="6" t="s">
        <v>6</v>
      </c>
      <c r="F51" s="6" t="inlineStr">
        <is>
          <t>Verify eligible services follow division membership.</t>
        </is>
      </c>
      <c r="G51" s="6" t="inlineStr">
        <is>
          <t>In Branches, assign a test branch to a division and save. Open its Branch operations and review Services at this location.</t>
        </is>
      </c>
      <c r="H51" s="6" t="inlineStr">
        <is>
          <t>Only services belonging to assigned divisions are offered. Saved memberships persist after reload.</t>
        </is>
      </c>
      <c r="I51" s="7"/>
      <c r="J51" s="7"/>
      <c r="K51" s="7"/>
      <c r="L51" s="8"/>
      <c r="M51" s="7"/>
      <c r="N51" s="7"/>
    </row>
    <row r="52" spans="1:14" ht="36.0" customHeight="1">
      <c r="A52" s="6" t="s">
        <v>301</v>
      </c>
      <c r="B52" s="6" t="s">
        <v>19</v>
      </c>
      <c r="C52" s="6" t="s">
        <v>302</v>
      </c>
      <c r="D52" s="6" t="s">
        <v>6</v>
      </c>
      <c r="E52" s="6" t="s">
        <v>6</v>
      </c>
      <c r="F52" s="6" t="inlineStr">
        <is>
          <t>Configure a test fee and verify persistence.</t>
        </is>
      </c>
      <c r="G52" s="6" t="inlineStr">
        <is>
          <t>Open Booking &amp; pricing &gt; Fees &amp; charges. Add a uniquely named fee with basis, amount and tax flag; save and reopen. Edit the amount and inspect an existing saved charge.</t>
        </is>
      </c>
      <c r="H52" s="6" t="inlineStr">
        <is>
          <t>Definition changes persist for subsequent use; existing saved transaction amounts remain unchanged.</t>
        </is>
      </c>
      <c r="I52" s="7"/>
      <c r="J52" s="7"/>
      <c r="K52" s="7"/>
      <c r="L52" s="8"/>
      <c r="M52" s="7"/>
      <c r="N52" s="7"/>
    </row>
    <row r="53" spans="1:14" ht="36.0" customHeight="1">
      <c r="A53" s="6" t="s">
        <v>306</v>
      </c>
      <c r="B53" s="6" t="s">
        <v>19</v>
      </c>
      <c r="C53" s="6" t="s">
        <v>307</v>
      </c>
      <c r="D53" s="6" t="s">
        <v>6</v>
      </c>
      <c r="E53" s="6" t="s">
        <v>6</v>
      </c>
      <c r="F53" s="6" t="inlineStr">
        <is>
          <t>Verify a configured approval rule against requests.</t>
        </is>
      </c>
      <c r="G53" s="6" t="inlineStr">
        <is>
          <t>Open Booking &amp; pricing &gt; Approval rules. Create a test rule with a specific request type, conditions and ordered stages. Save; submit one matching and one nonmatching request.</t>
        </is>
      </c>
      <c r="H53" s="6" t="inlineStr">
        <is>
          <t>The matching request follows saved approval stages; the nonmatching request is not routed by that rule.</t>
        </is>
      </c>
      <c r="I53" s="7"/>
      <c r="J53" s="7"/>
      <c r="K53" s="7"/>
      <c r="L53" s="8"/>
      <c r="M53" s="7"/>
      <c r="N53" s="7"/>
    </row>
    <row r="54" spans="1:14" ht="36.0" customHeight="1">
      <c r="A54" s="6" t="s">
        <v>311</v>
      </c>
      <c r="B54" s="6" t="s">
        <v>19</v>
      </c>
      <c r="C54" s="6" t="inlineStr">
        <is>
          <t>Approval delegation availability</t>
        </is>
      </c>
      <c r="D54" s="6" t="s">
        <v>6</v>
      </c>
      <c r="E54" s="6" t="s">
        <v>6</v>
      </c>
      <c r="F54" s="6" t="inlineStr">
        <is>
          <t>Check the delegation requirement before execution.</t>
        </is>
      </c>
      <c r="G54" s="6" t="inlineStr">
        <is>
          <t>Inspect Approval rules for delegation controls. No delegation UI was located in the reviewed build. If absent, record this capability gap; do not substitute ordinary approval rules.</t>
        </is>
      </c>
      <c r="H54" s="6" t="inlineStr">
        <is>
          <t>Requirement remains unmet until bounded delegate assignment is available and enforces user/date limits. Do not record Pass for ordinary approvals.</t>
        </is>
      </c>
      <c r="I54" s="7"/>
      <c r="J54" s="7"/>
      <c r="K54" s="7"/>
      <c r="L54" s="8"/>
      <c r="M54" s="7"/>
      <c r="N54" s="7"/>
    </row>
    <row r="55" spans="1:14" ht="48.0" customHeight="1">
      <c r="A55" s="6" t="s">
        <v>316</v>
      </c>
      <c r="B55" s="6" t="s">
        <v>19</v>
      </c>
      <c r="C55" s="6" t="inlineStr">
        <is>
          <t>Notification template</t>
        </is>
      </c>
      <c r="D55" s="6" t="s">
        <v>6</v>
      </c>
      <c r="E55" s="6" t="s">
        <v>6</v>
      </c>
      <c r="F55" s="6" t="inlineStr">
        <is>
          <t>Save and reuse a notification template.</t>
        </is>
      </c>
      <c r="G55" s="6" t="inlineStr">
        <is>
          <t>Open Communications &gt; Notifications. Record a test template, edit subject/message, Save template and reload. Trigger its event in a test environment; inspect the generated notification, then restore the template.</t>
        </is>
      </c>
      <c r="H55" s="6" t="inlineStr">
        <is>
          <t>Saved wording persists and is used by a newly generated matching notification. External delivery depends on the configured provider.</t>
        </is>
      </c>
      <c r="I55" s="7"/>
      <c r="J55" s="7"/>
      <c r="K55" s="7"/>
      <c r="L55" s="8"/>
      <c r="M55" s="7"/>
      <c r="N55" s="7"/>
    </row>
    <row r="56" spans="1:14" ht="24" customHeight="1">
      <c r="A56" s="6" t="s">
        <v>321</v>
      </c>
      <c r="B56" s="6" t="s">
        <v>20</v>
      </c>
      <c r="C56" s="6" t="s">
        <v>322</v>
      </c>
      <c r="D56" s="6" t="s">
        <v>6</v>
      </c>
      <c r="E56" s="6" t="s">
        <v>6</v>
      </c>
      <c r="F56" s="6" t="s">
        <v>323</v>
      </c>
      <c r="G56" s="6" t="s">
        <v>324</v>
      </c>
      <c r="H56" s="6" t="s">
        <v>325</v>
      </c>
      <c r="I56" s="7"/>
      <c r="J56" s="7"/>
      <c r="K56" s="7"/>
      <c r="L56" s="8"/>
      <c r="M56" s="7"/>
      <c r="N56" s="7"/>
    </row>
    <row r="57" spans="1:14" ht="24" customHeight="1">
      <c r="A57" s="6" t="s">
        <v>326</v>
      </c>
      <c r="B57" s="6" t="s">
        <v>20</v>
      </c>
      <c r="C57" s="6" t="s">
        <v>327</v>
      </c>
      <c r="D57" s="6" t="s">
        <v>6</v>
      </c>
      <c r="E57" s="6" t="s">
        <v>109</v>
      </c>
      <c r="F57" s="6" t="s">
        <v>328</v>
      </c>
      <c r="G57" s="6" t="s">
        <v>329</v>
      </c>
      <c r="H57" s="6" t="s">
        <v>330</v>
      </c>
      <c r="I57" s="7"/>
      <c r="J57" s="7"/>
      <c r="K57" s="7"/>
      <c r="L57" s="8"/>
      <c r="M57" s="7"/>
      <c r="N57" s="7"/>
    </row>
    <row r="58" spans="1:14" ht="24" customHeight="1">
      <c r="A58" s="6" t="s">
        <v>331</v>
      </c>
      <c r="B58" s="6" t="s">
        <v>20</v>
      </c>
      <c r="C58" s="6" t="s">
        <v>332</v>
      </c>
      <c r="D58" s="6" t="s">
        <v>6</v>
      </c>
      <c r="E58" s="6" t="s">
        <v>6</v>
      </c>
      <c r="F58" s="6" t="s">
        <v>333</v>
      </c>
      <c r="G58" s="6" t="s">
        <v>334</v>
      </c>
      <c r="H58" s="6" t="s">
        <v>335</v>
      </c>
      <c r="I58" s="7"/>
      <c r="J58" s="7"/>
      <c r="K58" s="7"/>
      <c r="L58" s="8"/>
      <c r="M58" s="7"/>
      <c r="N58" s="7"/>
    </row>
    <row r="59" spans="1:14" ht="24" customHeight="1">
      <c r="A59" s="6" t="s">
        <v>336</v>
      </c>
      <c r="B59" s="6" t="s">
        <v>20</v>
      </c>
      <c r="C59" s="6" t="s">
        <v>337</v>
      </c>
      <c r="D59" s="6" t="s">
        <v>8</v>
      </c>
      <c r="E59" s="6" t="s">
        <v>98</v>
      </c>
      <c r="F59" s="6" t="s">
        <v>338</v>
      </c>
      <c r="G59" s="6" t="s">
        <v>339</v>
      </c>
      <c r="H59" s="6" t="s">
        <v>340</v>
      </c>
      <c r="I59" s="7"/>
      <c r="J59" s="7"/>
      <c r="K59" s="7"/>
      <c r="L59" s="8"/>
      <c r="M59" s="7"/>
      <c r="N59" s="7"/>
    </row>
    <row r="60" spans="1:14" ht="24" customHeight="1">
      <c r="A60" s="6" t="s">
        <v>341</v>
      </c>
      <c r="B60" s="6" t="s">
        <v>20</v>
      </c>
      <c r="C60" s="6" t="s">
        <v>342</v>
      </c>
      <c r="D60" s="6" t="s">
        <v>6</v>
      </c>
      <c r="E60" s="6" t="s">
        <v>6</v>
      </c>
      <c r="F60" s="6" t="s">
        <v>343</v>
      </c>
      <c r="G60" s="6" t="s">
        <v>344</v>
      </c>
      <c r="H60" s="6" t="s">
        <v>345</v>
      </c>
      <c r="I60" s="7"/>
      <c r="J60" s="7"/>
      <c r="K60" s="7"/>
      <c r="L60" s="8"/>
      <c r="M60" s="7"/>
      <c r="N60" s="7"/>
    </row>
    <row r="61" spans="1:14" ht="24" customHeight="1">
      <c r="A61" s="6" t="s">
        <v>346</v>
      </c>
      <c r="B61" s="6" t="s">
        <v>20</v>
      </c>
      <c r="C61" s="6" t="s">
        <v>347</v>
      </c>
      <c r="D61" s="6" t="s">
        <v>6</v>
      </c>
      <c r="E61" s="6" t="s">
        <v>6</v>
      </c>
      <c r="F61" s="6" t="s">
        <v>348</v>
      </c>
      <c r="G61" s="6" t="s">
        <v>349</v>
      </c>
      <c r="H61" s="6" t="s">
        <v>350</v>
      </c>
      <c r="I61" s="7"/>
      <c r="J61" s="7"/>
      <c r="K61" s="7"/>
      <c r="L61" s="8"/>
      <c r="M61" s="7"/>
      <c r="N61" s="7"/>
    </row>
    <row r="62" spans="1:14" ht="15" customHeight="1">
      <c r="A62" s="6" t="s">
        <v>351</v>
      </c>
      <c r="B62" s="6" t="s">
        <v>20</v>
      </c>
      <c r="C62" s="6" t="s">
        <v>352</v>
      </c>
      <c r="D62" s="6" t="s">
        <v>6</v>
      </c>
      <c r="E62" s="6" t="s">
        <v>6</v>
      </c>
      <c r="F62" s="6" t="s">
        <v>353</v>
      </c>
      <c r="G62" s="6" t="s">
        <v>354</v>
      </c>
      <c r="H62" s="6" t="s">
        <v>355</v>
      </c>
      <c r="I62" s="7"/>
      <c r="J62" s="7"/>
      <c r="K62" s="7"/>
      <c r="L62" s="8"/>
      <c r="M62" s="7"/>
      <c r="N62" s="7"/>
    </row>
    <row r="63" spans="1:14" ht="24" customHeight="1">
      <c r="A63" s="6" t="s">
        <v>356</v>
      </c>
      <c r="B63" s="6" t="s">
        <v>20</v>
      </c>
      <c r="C63" s="6" t="s">
        <v>357</v>
      </c>
      <c r="D63" s="6" t="s">
        <v>6</v>
      </c>
      <c r="E63" s="6" t="s">
        <v>6</v>
      </c>
      <c r="F63" s="6" t="s">
        <v>358</v>
      </c>
      <c r="G63" s="6" t="s">
        <v>359</v>
      </c>
      <c r="H63" s="6" t="s">
        <v>360</v>
      </c>
      <c r="I63" s="7"/>
      <c r="J63" s="7"/>
      <c r="K63" s="7"/>
      <c r="L63" s="8"/>
      <c r="M63" s="7"/>
      <c r="N63" s="7"/>
    </row>
    <row r="64" spans="1:14" ht="24" customHeight="1">
      <c r="A64" s="6" t="s">
        <v>361</v>
      </c>
      <c r="B64" s="6" t="s">
        <v>20</v>
      </c>
      <c r="C64" s="6" t="s">
        <v>362</v>
      </c>
      <c r="D64" s="6" t="s">
        <v>6</v>
      </c>
      <c r="E64" s="6" t="s">
        <v>6</v>
      </c>
      <c r="F64" s="6" t="s">
        <v>363</v>
      </c>
      <c r="G64" s="6" t="s">
        <v>364</v>
      </c>
      <c r="H64" s="6" t="s">
        <v>365</v>
      </c>
      <c r="I64" s="7"/>
      <c r="J64" s="7"/>
      <c r="K64" s="7"/>
      <c r="L64" s="8"/>
      <c r="M64" s="7"/>
      <c r="N64" s="7"/>
    </row>
    <row r="65" spans="1:14" ht="24" customHeight="1">
      <c r="A65" s="6" t="s">
        <v>366</v>
      </c>
      <c r="B65" s="6" t="s">
        <v>20</v>
      </c>
      <c r="C65" s="6" t="s">
        <v>367</v>
      </c>
      <c r="D65" s="6" t="s">
        <v>6</v>
      </c>
      <c r="E65" s="6" t="s">
        <v>6</v>
      </c>
      <c r="F65" s="6" t="s">
        <v>368</v>
      </c>
      <c r="G65" s="6" t="s">
        <v>369</v>
      </c>
      <c r="H65" s="6" t="s">
        <v>370</v>
      </c>
      <c r="I65" s="7"/>
      <c r="J65" s="7"/>
      <c r="K65" s="7"/>
      <c r="L65" s="8"/>
      <c r="M65" s="7"/>
      <c r="N65" s="7"/>
    </row>
    <row r="66" spans="1:14" ht="24" customHeight="1">
      <c r="A66" s="6" t="s">
        <v>371</v>
      </c>
      <c r="B66" s="6" t="s">
        <v>20</v>
      </c>
      <c r="C66" s="6" t="s">
        <v>372</v>
      </c>
      <c r="D66" s="6" t="s">
        <v>6</v>
      </c>
      <c r="E66" s="6" t="s">
        <v>6</v>
      </c>
      <c r="F66" s="6" t="s">
        <v>373</v>
      </c>
      <c r="G66" s="6" t="s">
        <v>374</v>
      </c>
      <c r="H66" s="6" t="s">
        <v>375</v>
      </c>
      <c r="I66" s="7"/>
      <c r="J66" s="7"/>
      <c r="K66" s="7"/>
      <c r="L66" s="8"/>
      <c r="M66" s="7"/>
      <c r="N66" s="7"/>
    </row>
    <row r="67" spans="1:14" ht="36.0" customHeight="1">
      <c r="A67" s="6" t="s">
        <v>376</v>
      </c>
      <c r="B67" s="6" t="s">
        <v>20</v>
      </c>
      <c r="C67" s="6" t="inlineStr">
        <is>
          <t>Audit review</t>
        </is>
      </c>
      <c r="D67" s="6" t="s">
        <v>6</v>
      </c>
      <c r="E67" s="6" t="s">
        <v>6</v>
      </c>
      <c r="F67" s="6" t="inlineStr">
        <is>
          <t>Review recent administration audit events.</t>
        </is>
      </c>
      <c r="G67" s="6" t="inlineStr">
        <is>
          <t>After an authorized setting change, open the available health/audit view and locate the recent action. Inspect actor, time and summary. Do not assume date filters or page two exist in this view.</t>
        </is>
      </c>
      <c r="H67" s="6" t="inlineStr">
        <is>
          <t>The relevant event is readable and accurate; audit entries are not editable. Missing filters are recorded separately rather than tested as existing controls.</t>
        </is>
      </c>
      <c r="I67" s="7"/>
      <c r="J67" s="7"/>
      <c r="K67" s="7"/>
      <c r="L67" s="8"/>
      <c r="M67" s="7"/>
      <c r="N67" s="7"/>
    </row>
    <row r="68" spans="1:14" ht="15" customHeight="1">
      <c r="A68" s="6" t="s">
        <v>381</v>
      </c>
      <c r="B68" s="6" t="s">
        <v>21</v>
      </c>
      <c r="C68" s="6" t="s">
        <v>382</v>
      </c>
      <c r="D68" s="6" t="s">
        <v>6</v>
      </c>
      <c r="E68" s="6" t="s">
        <v>6</v>
      </c>
      <c r="F68" s="6" t="s">
        <v>383</v>
      </c>
      <c r="G68" s="6" t="s">
        <v>384</v>
      </c>
      <c r="H68" s="6" t="s">
        <v>385</v>
      </c>
      <c r="I68" s="7" t="s">
        <v>57</v>
      </c>
      <c r="J68" s="7"/>
      <c r="K68" s="7" t="s">
        <v>386</v>
      </c>
      <c r="L68" s="8" t="s">
        <v>387</v>
      </c>
      <c r="M68" s="7"/>
      <c r="N68" s="7"/>
    </row>
    <row r="69" spans="1:14" ht="48.0" customHeight="1">
      <c r="A69" s="6" t="s">
        <v>388</v>
      </c>
      <c r="B69" s="6" t="s">
        <v>21</v>
      </c>
      <c r="C69" s="6" t="s">
        <v>389</v>
      </c>
      <c r="D69" s="6" t="s">
        <v>6</v>
      </c>
      <c r="E69" s="6" t="s">
        <v>6</v>
      </c>
      <c r="F69" s="6" t="inlineStr">
        <is>
          <t>Verify the corporate-customer requirement and current gap.</t>
        </is>
      </c>
      <c r="G69" s="6" t="inlineStr">
        <is>
          <t>Open Customers &gt; Add customer. Check for corporate identity, separate primary contacts and billing fields. These controls are absent in the reviewed form; retain failure evidence and retest after implementation.</t>
        </is>
      </c>
      <c r="H69" s="6" t="inlineStr">
        <is>
          <t>A corporate record must retain company identity, contacts and billing details for bookings/finance. A company name in Full name alone does not satisfy this case.</t>
        </is>
      </c>
      <c r="I69" s="7" t="s">
        <v>393</v>
      </c>
      <c r="J69" s="7"/>
      <c r="K69" s="7" t="s">
        <v>386</v>
      </c>
      <c r="L69" s="8" t="s">
        <v>394</v>
      </c>
      <c r="M69" s="7"/>
      <c r="N69" s="7"/>
    </row>
    <row r="70" spans="1:14" ht="24" customHeight="1">
      <c r="A70" s="6" t="s">
        <v>395</v>
      </c>
      <c r="B70" s="6" t="s">
        <v>21</v>
      </c>
      <c r="C70" s="6" t="s">
        <v>396</v>
      </c>
      <c r="D70" s="6" t="s">
        <v>6</v>
      </c>
      <c r="E70" s="6" t="s">
        <v>109</v>
      </c>
      <c r="F70" s="6" t="s">
        <v>397</v>
      </c>
      <c r="G70" s="6" t="s">
        <v>398</v>
      </c>
      <c r="H70" s="6" t="s">
        <v>399</v>
      </c>
      <c r="I70" s="7"/>
      <c r="J70" s="7"/>
      <c r="K70" s="7"/>
      <c r="L70" s="8"/>
      <c r="M70" s="7"/>
      <c r="N70" s="7"/>
    </row>
    <row r="71" spans="1:14" ht="24" customHeight="1">
      <c r="A71" s="6" t="s">
        <v>400</v>
      </c>
      <c r="B71" s="6" t="s">
        <v>21</v>
      </c>
      <c r="C71" s="6" t="s">
        <v>401</v>
      </c>
      <c r="D71" s="6" t="s">
        <v>6</v>
      </c>
      <c r="E71" s="6" t="s">
        <v>6</v>
      </c>
      <c r="F71" s="6" t="s">
        <v>402</v>
      </c>
      <c r="G71" s="6" t="s">
        <v>403</v>
      </c>
      <c r="H71" s="6" t="s">
        <v>404</v>
      </c>
      <c r="I71" s="7"/>
      <c r="J71" s="7"/>
      <c r="K71" s="7"/>
      <c r="L71" s="8"/>
      <c r="M71" s="7"/>
      <c r="N71" s="7"/>
    </row>
    <row r="72" spans="1:14" ht="24" customHeight="1">
      <c r="A72" s="6" t="s">
        <v>405</v>
      </c>
      <c r="B72" s="6" t="s">
        <v>21</v>
      </c>
      <c r="C72" s="6" t="s">
        <v>406</v>
      </c>
      <c r="D72" s="6" t="s">
        <v>6</v>
      </c>
      <c r="E72" s="6" t="s">
        <v>6</v>
      </c>
      <c r="F72" s="6" t="s">
        <v>407</v>
      </c>
      <c r="G72" s="6" t="s">
        <v>408</v>
      </c>
      <c r="H72" s="6" t="s">
        <v>409</v>
      </c>
      <c r="I72" s="7"/>
      <c r="J72" s="7"/>
      <c r="K72" s="7"/>
      <c r="L72" s="8"/>
      <c r="M72" s="7"/>
      <c r="N72" s="7"/>
    </row>
    <row r="73" spans="1:14" ht="15" customHeight="1">
      <c r="A73" s="6" t="s">
        <v>410</v>
      </c>
      <c r="B73" s="6" t="s">
        <v>21</v>
      </c>
      <c r="C73" s="6" t="s">
        <v>411</v>
      </c>
      <c r="D73" s="6" t="s">
        <v>6</v>
      </c>
      <c r="E73" s="6" t="s">
        <v>6</v>
      </c>
      <c r="F73" s="6" t="s">
        <v>412</v>
      </c>
      <c r="G73" s="6" t="s">
        <v>413</v>
      </c>
      <c r="H73" s="6" t="s">
        <v>414</v>
      </c>
      <c r="I73" s="7"/>
      <c r="J73" s="7"/>
      <c r="K73" s="7"/>
      <c r="L73" s="8"/>
      <c r="M73" s="7"/>
      <c r="N73" s="7"/>
    </row>
    <row r="74" spans="1:14" ht="24" customHeight="1">
      <c r="A74" s="6" t="s">
        <v>415</v>
      </c>
      <c r="B74" s="6" t="s">
        <v>21</v>
      </c>
      <c r="C74" s="6" t="s">
        <v>416</v>
      </c>
      <c r="D74" s="6" t="s">
        <v>6</v>
      </c>
      <c r="E74" s="6" t="s">
        <v>6</v>
      </c>
      <c r="F74" s="6" t="s">
        <v>417</v>
      </c>
      <c r="G74" s="6" t="s">
        <v>418</v>
      </c>
      <c r="H74" s="6" t="s">
        <v>419</v>
      </c>
      <c r="I74" s="7"/>
      <c r="J74" s="7"/>
      <c r="K74" s="7"/>
      <c r="L74" s="8"/>
      <c r="M74" s="7"/>
      <c r="N74" s="7"/>
    </row>
    <row r="75" spans="1:14" ht="24" customHeight="1">
      <c r="A75" s="6" t="s">
        <v>420</v>
      </c>
      <c r="B75" s="6" t="s">
        <v>21</v>
      </c>
      <c r="C75" s="6" t="s">
        <v>421</v>
      </c>
      <c r="D75" s="6" t="s">
        <v>6</v>
      </c>
      <c r="E75" s="6" t="s">
        <v>6</v>
      </c>
      <c r="F75" s="6" t="s">
        <v>422</v>
      </c>
      <c r="G75" s="6" t="s">
        <v>423</v>
      </c>
      <c r="H75" s="6" t="s">
        <v>424</v>
      </c>
      <c r="I75" s="7"/>
      <c r="J75" s="7"/>
      <c r="K75" s="7"/>
      <c r="L75" s="8"/>
      <c r="M75" s="7"/>
      <c r="N75" s="7"/>
    </row>
    <row r="76" spans="1:14" ht="24" customHeight="1">
      <c r="A76" s="6" t="s">
        <v>425</v>
      </c>
      <c r="B76" s="6" t="s">
        <v>21</v>
      </c>
      <c r="C76" s="6" t="s">
        <v>426</v>
      </c>
      <c r="D76" s="6" t="s">
        <v>6</v>
      </c>
      <c r="E76" s="6" t="s">
        <v>109</v>
      </c>
      <c r="F76" s="6" t="s">
        <v>427</v>
      </c>
      <c r="G76" s="6" t="s">
        <v>428</v>
      </c>
      <c r="H76" s="6" t="s">
        <v>429</v>
      </c>
      <c r="I76" s="7"/>
      <c r="J76" s="7"/>
      <c r="K76" s="7"/>
      <c r="L76" s="8"/>
      <c r="M76" s="7"/>
      <c r="N76" s="7"/>
    </row>
    <row r="77" spans="1:14" ht="24" customHeight="1">
      <c r="A77" s="6" t="s">
        <v>430</v>
      </c>
      <c r="B77" s="6" t="s">
        <v>21</v>
      </c>
      <c r="C77" s="6" t="s">
        <v>431</v>
      </c>
      <c r="D77" s="6" t="s">
        <v>6</v>
      </c>
      <c r="E77" s="6" t="s">
        <v>6</v>
      </c>
      <c r="F77" s="6" t="s">
        <v>432</v>
      </c>
      <c r="G77" s="6" t="s">
        <v>433</v>
      </c>
      <c r="H77" s="6" t="s">
        <v>434</v>
      </c>
      <c r="I77" s="7"/>
      <c r="J77" s="7"/>
      <c r="K77" s="7"/>
      <c r="L77" s="8"/>
      <c r="M77" s="7"/>
      <c r="N77" s="7"/>
    </row>
    <row r="78" spans="1:14" ht="24" customHeight="1">
      <c r="A78" s="6" t="s">
        <v>435</v>
      </c>
      <c r="B78" s="6" t="s">
        <v>21</v>
      </c>
      <c r="C78" s="6" t="s">
        <v>436</v>
      </c>
      <c r="D78" s="6" t="s">
        <v>6</v>
      </c>
      <c r="E78" s="6" t="s">
        <v>6</v>
      </c>
      <c r="F78" s="6" t="s">
        <v>437</v>
      </c>
      <c r="G78" s="6" t="s">
        <v>438</v>
      </c>
      <c r="H78" s="6" t="s">
        <v>439</v>
      </c>
      <c r="I78" s="7"/>
      <c r="J78" s="7"/>
      <c r="K78" s="7"/>
      <c r="L78" s="8"/>
      <c r="M78" s="7"/>
      <c r="N78" s="7"/>
    </row>
    <row r="79" spans="1:14" ht="15" customHeight="1">
      <c r="A79" s="6" t="s">
        <v>440</v>
      </c>
      <c r="B79" s="6" t="s">
        <v>21</v>
      </c>
      <c r="C79" s="6" t="s">
        <v>441</v>
      </c>
      <c r="D79" s="6" t="s">
        <v>8</v>
      </c>
      <c r="E79" s="6" t="s">
        <v>98</v>
      </c>
      <c r="F79" s="6" t="s">
        <v>442</v>
      </c>
      <c r="G79" s="6" t="s">
        <v>443</v>
      </c>
      <c r="H79" s="6" t="s">
        <v>444</v>
      </c>
      <c r="I79" s="7"/>
      <c r="J79" s="7"/>
      <c r="K79" s="7"/>
      <c r="L79" s="8"/>
      <c r="M79" s="7"/>
      <c r="N79" s="7"/>
    </row>
    <row r="80" spans="1:14" ht="24" customHeight="1">
      <c r="A80" s="6" t="s">
        <v>445</v>
      </c>
      <c r="B80" s="6" t="s">
        <v>21</v>
      </c>
      <c r="C80" s="6" t="s">
        <v>446</v>
      </c>
      <c r="D80" s="6" t="s">
        <v>6</v>
      </c>
      <c r="E80" s="6" t="s">
        <v>6</v>
      </c>
      <c r="F80" s="6" t="s">
        <v>447</v>
      </c>
      <c r="G80" s="6" t="s">
        <v>448</v>
      </c>
      <c r="H80" s="6" t="s">
        <v>449</v>
      </c>
      <c r="I80" s="7"/>
      <c r="J80" s="7"/>
      <c r="K80" s="7"/>
      <c r="L80" s="8"/>
      <c r="M80" s="7"/>
      <c r="N80" s="7"/>
    </row>
    <row r="81" spans="1:14" ht="24" customHeight="1">
      <c r="A81" s="6" t="s">
        <v>450</v>
      </c>
      <c r="B81" s="6" t="s">
        <v>22</v>
      </c>
      <c r="C81" s="6" t="s">
        <v>451</v>
      </c>
      <c r="D81" s="6" t="s">
        <v>6</v>
      </c>
      <c r="E81" s="6" t="s">
        <v>6</v>
      </c>
      <c r="F81" s="6" t="s">
        <v>452</v>
      </c>
      <c r="G81" s="6" t="s">
        <v>453</v>
      </c>
      <c r="H81" s="6" t="s">
        <v>454</v>
      </c>
      <c r="I81" s="7"/>
      <c r="J81" s="7"/>
      <c r="K81" s="7"/>
      <c r="L81" s="8"/>
      <c r="M81" s="7"/>
      <c r="N81" s="7"/>
    </row>
    <row r="82" spans="1:14" ht="24" customHeight="1">
      <c r="A82" s="6" t="s">
        <v>455</v>
      </c>
      <c r="B82" s="6" t="s">
        <v>22</v>
      </c>
      <c r="C82" s="6" t="s">
        <v>456</v>
      </c>
      <c r="D82" s="6" t="s">
        <v>6</v>
      </c>
      <c r="E82" s="6" t="s">
        <v>6</v>
      </c>
      <c r="F82" s="6" t="s">
        <v>457</v>
      </c>
      <c r="G82" s="6" t="s">
        <v>458</v>
      </c>
      <c r="H82" s="6" t="s">
        <v>459</v>
      </c>
      <c r="I82" s="7"/>
      <c r="J82" s="7"/>
      <c r="K82" s="7"/>
      <c r="L82" s="8"/>
      <c r="M82" s="7"/>
      <c r="N82" s="7"/>
    </row>
    <row r="83" spans="1:14" ht="24" customHeight="1">
      <c r="A83" s="6" t="s">
        <v>460</v>
      </c>
      <c r="B83" s="6" t="s">
        <v>22</v>
      </c>
      <c r="C83" s="6" t="s">
        <v>461</v>
      </c>
      <c r="D83" s="6" t="s">
        <v>6</v>
      </c>
      <c r="E83" s="6" t="s">
        <v>6</v>
      </c>
      <c r="F83" s="6" t="s">
        <v>462</v>
      </c>
      <c r="G83" s="6" t="s">
        <v>463</v>
      </c>
      <c r="H83" s="6" t="s">
        <v>464</v>
      </c>
      <c r="I83" s="7"/>
      <c r="J83" s="7"/>
      <c r="K83" s="7"/>
      <c r="L83" s="8"/>
      <c r="M83" s="7"/>
      <c r="N83" s="7"/>
    </row>
    <row r="84" spans="1:14" ht="24" customHeight="1">
      <c r="A84" s="6" t="s">
        <v>465</v>
      </c>
      <c r="B84" s="6" t="s">
        <v>22</v>
      </c>
      <c r="C84" s="6" t="s">
        <v>466</v>
      </c>
      <c r="D84" s="6" t="s">
        <v>6</v>
      </c>
      <c r="E84" s="6" t="s">
        <v>92</v>
      </c>
      <c r="F84" s="6" t="s">
        <v>467</v>
      </c>
      <c r="G84" s="6" t="s">
        <v>468</v>
      </c>
      <c r="H84" s="6" t="s">
        <v>469</v>
      </c>
      <c r="I84" s="7"/>
      <c r="J84" s="7"/>
      <c r="K84" s="7"/>
      <c r="L84" s="8"/>
      <c r="M84" s="7"/>
      <c r="N84" s="7"/>
    </row>
    <row r="85" spans="1:14" ht="24" customHeight="1">
      <c r="A85" s="6" t="s">
        <v>470</v>
      </c>
      <c r="B85" s="6" t="s">
        <v>22</v>
      </c>
      <c r="C85" s="6" t="s">
        <v>471</v>
      </c>
      <c r="D85" s="6" t="s">
        <v>8</v>
      </c>
      <c r="E85" s="6" t="s">
        <v>98</v>
      </c>
      <c r="F85" s="6" t="s">
        <v>472</v>
      </c>
      <c r="G85" s="6" t="s">
        <v>473</v>
      </c>
      <c r="H85" s="6" t="s">
        <v>474</v>
      </c>
      <c r="I85" s="7"/>
      <c r="J85" s="7"/>
      <c r="K85" s="7"/>
      <c r="L85" s="8"/>
      <c r="M85" s="7"/>
      <c r="N85" s="7"/>
    </row>
    <row r="86" spans="1:14" ht="24" customHeight="1">
      <c r="A86" s="6" t="s">
        <v>475</v>
      </c>
      <c r="B86" s="6" t="s">
        <v>22</v>
      </c>
      <c r="C86" s="6" t="s">
        <v>476</v>
      </c>
      <c r="D86" s="6" t="s">
        <v>6</v>
      </c>
      <c r="E86" s="6" t="s">
        <v>6</v>
      </c>
      <c r="F86" s="6" t="s">
        <v>477</v>
      </c>
      <c r="G86" s="6" t="s">
        <v>478</v>
      </c>
      <c r="H86" s="6" t="s">
        <v>479</v>
      </c>
      <c r="I86" s="7"/>
      <c r="J86" s="7"/>
      <c r="K86" s="7"/>
      <c r="L86" s="8"/>
      <c r="M86" s="7"/>
      <c r="N86" s="7"/>
    </row>
    <row r="87" spans="1:14" ht="24" customHeight="1">
      <c r="A87" s="6" t="s">
        <v>480</v>
      </c>
      <c r="B87" s="6" t="s">
        <v>22</v>
      </c>
      <c r="C87" s="6" t="s">
        <v>481</v>
      </c>
      <c r="D87" s="6" t="s">
        <v>6</v>
      </c>
      <c r="E87" s="6" t="s">
        <v>6</v>
      </c>
      <c r="F87" s="6" t="s">
        <v>482</v>
      </c>
      <c r="G87" s="6" t="s">
        <v>483</v>
      </c>
      <c r="H87" s="6" t="s">
        <v>484</v>
      </c>
      <c r="I87" s="7"/>
      <c r="J87" s="7"/>
      <c r="K87" s="7"/>
      <c r="L87" s="8"/>
      <c r="M87" s="7"/>
      <c r="N87" s="7"/>
    </row>
    <row r="88" spans="1:14" ht="24" customHeight="1">
      <c r="A88" s="6" t="s">
        <v>485</v>
      </c>
      <c r="B88" s="6" t="s">
        <v>22</v>
      </c>
      <c r="C88" s="6" t="s">
        <v>486</v>
      </c>
      <c r="D88" s="6" t="s">
        <v>6</v>
      </c>
      <c r="E88" s="6" t="s">
        <v>109</v>
      </c>
      <c r="F88" s="6" t="s">
        <v>487</v>
      </c>
      <c r="G88" s="6" t="s">
        <v>488</v>
      </c>
      <c r="H88" s="6" t="s">
        <v>489</v>
      </c>
      <c r="I88" s="7"/>
      <c r="J88" s="7"/>
      <c r="K88" s="7"/>
      <c r="L88" s="8"/>
      <c r="M88" s="7"/>
      <c r="N88" s="7"/>
    </row>
    <row r="89" spans="1:14" ht="24" customHeight="1">
      <c r="A89" s="6" t="s">
        <v>490</v>
      </c>
      <c r="B89" s="6" t="s">
        <v>22</v>
      </c>
      <c r="C89" s="6" t="s">
        <v>491</v>
      </c>
      <c r="D89" s="6" t="s">
        <v>6</v>
      </c>
      <c r="E89" s="6" t="s">
        <v>6</v>
      </c>
      <c r="F89" s="6" t="s">
        <v>492</v>
      </c>
      <c r="G89" s="6" t="s">
        <v>493</v>
      </c>
      <c r="H89" s="6" t="s">
        <v>494</v>
      </c>
      <c r="I89" s="7"/>
      <c r="J89" s="7"/>
      <c r="K89" s="7"/>
      <c r="L89" s="8"/>
      <c r="M89" s="7"/>
      <c r="N89" s="7"/>
    </row>
    <row r="90" spans="1:14" ht="24" customHeight="1">
      <c r="A90" s="6" t="s">
        <v>495</v>
      </c>
      <c r="B90" s="6" t="s">
        <v>22</v>
      </c>
      <c r="C90" s="6" t="s">
        <v>496</v>
      </c>
      <c r="D90" s="6" t="s">
        <v>6</v>
      </c>
      <c r="E90" s="6" t="s">
        <v>6</v>
      </c>
      <c r="F90" s="6" t="s">
        <v>497</v>
      </c>
      <c r="G90" s="6" t="s">
        <v>498</v>
      </c>
      <c r="H90" s="6" t="s">
        <v>499</v>
      </c>
      <c r="I90" s="7"/>
      <c r="J90" s="7"/>
      <c r="K90" s="7"/>
      <c r="L90" s="8"/>
      <c r="M90" s="7"/>
      <c r="N90" s="7"/>
    </row>
    <row r="91" spans="1:14" ht="24" customHeight="1">
      <c r="A91" s="6" t="s">
        <v>500</v>
      </c>
      <c r="B91" s="6" t="s">
        <v>22</v>
      </c>
      <c r="C91" s="6" t="s">
        <v>501</v>
      </c>
      <c r="D91" s="6" t="s">
        <v>6</v>
      </c>
      <c r="E91" s="6" t="s">
        <v>6</v>
      </c>
      <c r="F91" s="6" t="s">
        <v>502</v>
      </c>
      <c r="G91" s="6" t="s">
        <v>503</v>
      </c>
      <c r="H91" s="6" t="s">
        <v>504</v>
      </c>
      <c r="I91" s="7"/>
      <c r="J91" s="7"/>
      <c r="K91" s="7"/>
      <c r="L91" s="8"/>
      <c r="M91" s="7"/>
      <c r="N91" s="7"/>
    </row>
    <row r="92" spans="1:14" ht="24" customHeight="1">
      <c r="A92" s="6" t="s">
        <v>505</v>
      </c>
      <c r="B92" s="6" t="s">
        <v>22</v>
      </c>
      <c r="C92" s="6" t="s">
        <v>506</v>
      </c>
      <c r="D92" s="6" t="s">
        <v>6</v>
      </c>
      <c r="E92" s="6" t="s">
        <v>6</v>
      </c>
      <c r="F92" s="6" t="s">
        <v>507</v>
      </c>
      <c r="G92" s="6" t="s">
        <v>508</v>
      </c>
      <c r="H92" s="6" t="s">
        <v>509</v>
      </c>
      <c r="I92" s="7"/>
      <c r="J92" s="7"/>
      <c r="K92" s="7"/>
      <c r="L92" s="8"/>
      <c r="M92" s="7"/>
      <c r="N92" s="7"/>
    </row>
    <row r="93" spans="1:14" ht="24" customHeight="1">
      <c r="A93" s="6" t="s">
        <v>510</v>
      </c>
      <c r="B93" s="6" t="s">
        <v>22</v>
      </c>
      <c r="C93" s="6" t="s">
        <v>511</v>
      </c>
      <c r="D93" s="6" t="s">
        <v>6</v>
      </c>
      <c r="E93" s="6" t="s">
        <v>6</v>
      </c>
      <c r="F93" s="6" t="s">
        <v>512</v>
      </c>
      <c r="G93" s="6" t="s">
        <v>513</v>
      </c>
      <c r="H93" s="6" t="s">
        <v>514</v>
      </c>
      <c r="I93" s="7"/>
      <c r="J93" s="7"/>
      <c r="K93" s="7"/>
      <c r="L93" s="8"/>
      <c r="M93" s="7"/>
      <c r="N93" s="7"/>
    </row>
    <row r="94" spans="1:14" ht="24" customHeight="1">
      <c r="A94" s="6" t="s">
        <v>515</v>
      </c>
      <c r="B94" s="6" t="s">
        <v>22</v>
      </c>
      <c r="C94" s="6" t="s">
        <v>516</v>
      </c>
      <c r="D94" s="6" t="s">
        <v>8</v>
      </c>
      <c r="E94" s="6" t="s">
        <v>98</v>
      </c>
      <c r="F94" s="6" t="s">
        <v>517</v>
      </c>
      <c r="G94" s="6" t="s">
        <v>518</v>
      </c>
      <c r="H94" s="6" t="s">
        <v>519</v>
      </c>
      <c r="I94" s="7"/>
      <c r="J94" s="7"/>
      <c r="K94" s="7"/>
      <c r="L94" s="8"/>
      <c r="M94" s="7"/>
      <c r="N94" s="7"/>
    </row>
    <row r="95" spans="1:14" ht="24" customHeight="1">
      <c r="A95" s="6" t="s">
        <v>520</v>
      </c>
      <c r="B95" s="6" t="s">
        <v>22</v>
      </c>
      <c r="C95" s="6" t="s">
        <v>521</v>
      </c>
      <c r="D95" s="6" t="s">
        <v>6</v>
      </c>
      <c r="E95" s="6" t="s">
        <v>6</v>
      </c>
      <c r="F95" s="6" t="s">
        <v>522</v>
      </c>
      <c r="G95" s="6" t="s">
        <v>523</v>
      </c>
      <c r="H95" s="6" t="s">
        <v>524</v>
      </c>
      <c r="I95" s="7"/>
      <c r="J95" s="7"/>
      <c r="K95" s="7"/>
      <c r="L95" s="8"/>
      <c r="M95" s="7"/>
      <c r="N95" s="7"/>
    </row>
    <row r="96" spans="1:14" ht="24" customHeight="1">
      <c r="A96" s="6" t="s">
        <v>525</v>
      </c>
      <c r="B96" s="6" t="s">
        <v>22</v>
      </c>
      <c r="C96" s="6" t="s">
        <v>526</v>
      </c>
      <c r="D96" s="6" t="s">
        <v>6</v>
      </c>
      <c r="E96" s="6" t="s">
        <v>6</v>
      </c>
      <c r="F96" s="6" t="s">
        <v>527</v>
      </c>
      <c r="G96" s="6" t="s">
        <v>528</v>
      </c>
      <c r="H96" s="6" t="s">
        <v>529</v>
      </c>
      <c r="I96" s="7"/>
      <c r="J96" s="7"/>
      <c r="K96" s="7"/>
      <c r="L96" s="8"/>
      <c r="M96" s="7"/>
      <c r="N96" s="7"/>
    </row>
    <row r="97" spans="1:14" ht="24" customHeight="1">
      <c r="A97" s="6" t="s">
        <v>530</v>
      </c>
      <c r="B97" s="6" t="s">
        <v>22</v>
      </c>
      <c r="C97" s="6" t="s">
        <v>531</v>
      </c>
      <c r="D97" s="6" t="s">
        <v>6</v>
      </c>
      <c r="E97" s="6" t="s">
        <v>6</v>
      </c>
      <c r="F97" s="6" t="s">
        <v>532</v>
      </c>
      <c r="G97" s="6" t="s">
        <v>533</v>
      </c>
      <c r="H97" s="6" t="s">
        <v>534</v>
      </c>
      <c r="I97" s="7"/>
      <c r="J97" s="7"/>
      <c r="K97" s="7"/>
      <c r="L97" s="8"/>
      <c r="M97" s="7"/>
      <c r="N97" s="7"/>
    </row>
    <row r="98" spans="1:14" ht="24" customHeight="1">
      <c r="A98" s="6" t="s">
        <v>535</v>
      </c>
      <c r="B98" s="6" t="s">
        <v>22</v>
      </c>
      <c r="C98" s="6" t="s">
        <v>536</v>
      </c>
      <c r="D98" s="6" t="s">
        <v>6</v>
      </c>
      <c r="E98" s="6" t="s">
        <v>6</v>
      </c>
      <c r="F98" s="6" t="s">
        <v>537</v>
      </c>
      <c r="G98" s="6" t="s">
        <v>538</v>
      </c>
      <c r="H98" s="6" t="s">
        <v>539</v>
      </c>
      <c r="I98" s="7"/>
      <c r="J98" s="7"/>
      <c r="K98" s="7"/>
      <c r="L98" s="8"/>
      <c r="M98" s="7"/>
      <c r="N98" s="7"/>
    </row>
    <row r="99" spans="1:14" ht="24" customHeight="1">
      <c r="A99" s="6" t="s">
        <v>540</v>
      </c>
      <c r="B99" s="6" t="s">
        <v>22</v>
      </c>
      <c r="C99" s="6" t="s">
        <v>541</v>
      </c>
      <c r="D99" s="6" t="s">
        <v>6</v>
      </c>
      <c r="E99" s="6" t="s">
        <v>6</v>
      </c>
      <c r="F99" s="6" t="s">
        <v>542</v>
      </c>
      <c r="G99" s="6" t="s">
        <v>543</v>
      </c>
      <c r="H99" s="6" t="s">
        <v>544</v>
      </c>
      <c r="I99" s="7"/>
      <c r="J99" s="7"/>
      <c r="K99" s="7"/>
      <c r="L99" s="8"/>
      <c r="M99" s="7"/>
      <c r="N99" s="7"/>
    </row>
    <row r="100" spans="1:14" ht="15" customHeight="1">
      <c r="A100" s="6" t="s">
        <v>545</v>
      </c>
      <c r="B100" s="6" t="s">
        <v>23</v>
      </c>
      <c r="C100" s="6" t="s">
        <v>546</v>
      </c>
      <c r="D100" s="6" t="s">
        <v>6</v>
      </c>
      <c r="E100" s="6" t="s">
        <v>6</v>
      </c>
      <c r="F100" s="6" t="s">
        <v>547</v>
      </c>
      <c r="G100" s="6" t="s">
        <v>548</v>
      </c>
      <c r="H100" s="6" t="s">
        <v>549</v>
      </c>
      <c r="I100" s="7"/>
      <c r="J100" s="7"/>
      <c r="K100" s="7"/>
      <c r="L100" s="8"/>
      <c r="M100" s="7"/>
      <c r="N100" s="7"/>
    </row>
    <row r="101" spans="1:14" ht="24" customHeight="1">
      <c r="A101" s="6" t="s">
        <v>550</v>
      </c>
      <c r="B101" s="6" t="s">
        <v>23</v>
      </c>
      <c r="C101" s="6" t="s">
        <v>551</v>
      </c>
      <c r="D101" s="6" t="s">
        <v>6</v>
      </c>
      <c r="E101" s="6" t="s">
        <v>109</v>
      </c>
      <c r="F101" s="6" t="s">
        <v>552</v>
      </c>
      <c r="G101" s="6" t="s">
        <v>553</v>
      </c>
      <c r="H101" s="6" t="s">
        <v>554</v>
      </c>
      <c r="I101" s="7"/>
      <c r="J101" s="7"/>
      <c r="K101" s="7"/>
      <c r="L101" s="8"/>
      <c r="M101" s="7"/>
      <c r="N101" s="7"/>
    </row>
    <row r="102" spans="1:14" ht="24" customHeight="1">
      <c r="A102" s="6" t="s">
        <v>555</v>
      </c>
      <c r="B102" s="6" t="s">
        <v>23</v>
      </c>
      <c r="C102" s="6" t="s">
        <v>556</v>
      </c>
      <c r="D102" s="6" t="s">
        <v>6</v>
      </c>
      <c r="E102" s="6" t="s">
        <v>6</v>
      </c>
      <c r="F102" s="6" t="s">
        <v>557</v>
      </c>
      <c r="G102" s="6" t="s">
        <v>558</v>
      </c>
      <c r="H102" s="6" t="s">
        <v>559</v>
      </c>
      <c r="I102" s="7"/>
      <c r="J102" s="7"/>
      <c r="K102" s="7"/>
      <c r="L102" s="8"/>
      <c r="M102" s="7"/>
      <c r="N102" s="7"/>
    </row>
    <row r="103" spans="1:14" ht="24" customHeight="1">
      <c r="A103" s="6" t="s">
        <v>560</v>
      </c>
      <c r="B103" s="6" t="s">
        <v>23</v>
      </c>
      <c r="C103" s="6" t="s">
        <v>561</v>
      </c>
      <c r="D103" s="6" t="s">
        <v>6</v>
      </c>
      <c r="E103" s="6" t="s">
        <v>109</v>
      </c>
      <c r="F103" s="6" t="s">
        <v>562</v>
      </c>
      <c r="G103" s="6" t="s">
        <v>563</v>
      </c>
      <c r="H103" s="6" t="s">
        <v>564</v>
      </c>
      <c r="I103" s="7"/>
      <c r="J103" s="7"/>
      <c r="K103" s="7"/>
      <c r="L103" s="8"/>
      <c r="M103" s="7"/>
      <c r="N103" s="7"/>
    </row>
    <row r="104" spans="1:14" ht="15" customHeight="1">
      <c r="A104" s="6" t="s">
        <v>565</v>
      </c>
      <c r="B104" s="6" t="s">
        <v>23</v>
      </c>
      <c r="C104" s="6" t="s">
        <v>566</v>
      </c>
      <c r="D104" s="6" t="s">
        <v>6</v>
      </c>
      <c r="E104" s="6" t="s">
        <v>6</v>
      </c>
      <c r="F104" s="6" t="s">
        <v>567</v>
      </c>
      <c r="G104" s="6" t="s">
        <v>568</v>
      </c>
      <c r="H104" s="6" t="s">
        <v>569</v>
      </c>
      <c r="I104" s="7"/>
      <c r="J104" s="7"/>
      <c r="K104" s="7"/>
      <c r="L104" s="8"/>
      <c r="M104" s="7"/>
      <c r="N104" s="7"/>
    </row>
    <row r="105" spans="1:14" ht="24" customHeight="1">
      <c r="A105" s="6" t="s">
        <v>570</v>
      </c>
      <c r="B105" s="6" t="s">
        <v>23</v>
      </c>
      <c r="C105" s="6" t="s">
        <v>571</v>
      </c>
      <c r="D105" s="6" t="s">
        <v>6</v>
      </c>
      <c r="E105" s="6" t="s">
        <v>6</v>
      </c>
      <c r="F105" s="6" t="s">
        <v>572</v>
      </c>
      <c r="G105" s="6" t="s">
        <v>573</v>
      </c>
      <c r="H105" s="6" t="s">
        <v>574</v>
      </c>
      <c r="I105" s="7"/>
      <c r="J105" s="7"/>
      <c r="K105" s="7"/>
      <c r="L105" s="8"/>
      <c r="M105" s="7"/>
      <c r="N105" s="7"/>
    </row>
    <row r="106" spans="1:14" ht="24" customHeight="1">
      <c r="A106" s="6" t="s">
        <v>575</v>
      </c>
      <c r="B106" s="6" t="s">
        <v>23</v>
      </c>
      <c r="C106" s="6" t="s">
        <v>576</v>
      </c>
      <c r="D106" s="6" t="s">
        <v>6</v>
      </c>
      <c r="E106" s="6" t="s">
        <v>6</v>
      </c>
      <c r="F106" s="6" t="s">
        <v>577</v>
      </c>
      <c r="G106" s="6" t="s">
        <v>578</v>
      </c>
      <c r="H106" s="6" t="s">
        <v>579</v>
      </c>
      <c r="I106" s="7"/>
      <c r="J106" s="7"/>
      <c r="K106" s="7"/>
      <c r="L106" s="8"/>
      <c r="M106" s="7"/>
      <c r="N106" s="7"/>
    </row>
    <row r="107" spans="1:14" ht="24" customHeight="1">
      <c r="A107" s="6" t="s">
        <v>580</v>
      </c>
      <c r="B107" s="6" t="s">
        <v>23</v>
      </c>
      <c r="C107" s="6" t="s">
        <v>581</v>
      </c>
      <c r="D107" s="6" t="s">
        <v>6</v>
      </c>
      <c r="E107" s="6" t="s">
        <v>6</v>
      </c>
      <c r="F107" s="6" t="s">
        <v>582</v>
      </c>
      <c r="G107" s="6" t="s">
        <v>583</v>
      </c>
      <c r="H107" s="6" t="s">
        <v>584</v>
      </c>
      <c r="I107" s="7"/>
      <c r="J107" s="7"/>
      <c r="K107" s="7"/>
      <c r="L107" s="8"/>
      <c r="M107" s="7"/>
      <c r="N107" s="7"/>
    </row>
    <row r="108" spans="1:14" ht="24" customHeight="1">
      <c r="A108" s="6" t="s">
        <v>585</v>
      </c>
      <c r="B108" s="6" t="s">
        <v>23</v>
      </c>
      <c r="C108" s="6" t="s">
        <v>586</v>
      </c>
      <c r="D108" s="6" t="s">
        <v>6</v>
      </c>
      <c r="E108" s="6" t="s">
        <v>6</v>
      </c>
      <c r="F108" s="6" t="s">
        <v>587</v>
      </c>
      <c r="G108" s="6" t="s">
        <v>588</v>
      </c>
      <c r="H108" s="6" t="s">
        <v>589</v>
      </c>
      <c r="I108" s="7"/>
      <c r="J108" s="7"/>
      <c r="K108" s="7"/>
      <c r="L108" s="8"/>
      <c r="M108" s="7"/>
      <c r="N108" s="7"/>
    </row>
    <row r="109" spans="1:14" ht="24" customHeight="1">
      <c r="A109" s="6" t="s">
        <v>590</v>
      </c>
      <c r="B109" s="6" t="s">
        <v>23</v>
      </c>
      <c r="C109" s="6" t="s">
        <v>591</v>
      </c>
      <c r="D109" s="6" t="s">
        <v>6</v>
      </c>
      <c r="E109" s="6" t="s">
        <v>6</v>
      </c>
      <c r="F109" s="6" t="s">
        <v>592</v>
      </c>
      <c r="G109" s="6" t="s">
        <v>593</v>
      </c>
      <c r="H109" s="6" t="s">
        <v>594</v>
      </c>
      <c r="I109" s="7"/>
      <c r="J109" s="7"/>
      <c r="K109" s="7"/>
      <c r="L109" s="8"/>
      <c r="M109" s="7"/>
      <c r="N109" s="7"/>
    </row>
    <row r="110" spans="1:14" ht="24" customHeight="1">
      <c r="A110" s="6" t="s">
        <v>595</v>
      </c>
      <c r="B110" s="6" t="s">
        <v>23</v>
      </c>
      <c r="C110" s="6" t="s">
        <v>596</v>
      </c>
      <c r="D110" s="6" t="s">
        <v>6</v>
      </c>
      <c r="E110" s="6" t="s">
        <v>6</v>
      </c>
      <c r="F110" s="6" t="s">
        <v>597</v>
      </c>
      <c r="G110" s="6" t="s">
        <v>598</v>
      </c>
      <c r="H110" s="6" t="s">
        <v>599</v>
      </c>
      <c r="I110" s="7"/>
      <c r="J110" s="7"/>
      <c r="K110" s="7"/>
      <c r="L110" s="8"/>
      <c r="M110" s="7"/>
      <c r="N110" s="7"/>
    </row>
    <row r="111" spans="1:14" ht="24" customHeight="1">
      <c r="A111" s="6" t="s">
        <v>600</v>
      </c>
      <c r="B111" s="6" t="s">
        <v>23</v>
      </c>
      <c r="C111" s="6" t="s">
        <v>601</v>
      </c>
      <c r="D111" s="6" t="s">
        <v>6</v>
      </c>
      <c r="E111" s="6" t="s">
        <v>6</v>
      </c>
      <c r="F111" s="6" t="s">
        <v>602</v>
      </c>
      <c r="G111" s="6" t="s">
        <v>603</v>
      </c>
      <c r="H111" s="6" t="s">
        <v>604</v>
      </c>
      <c r="I111" s="7"/>
      <c r="J111" s="7"/>
      <c r="K111" s="7"/>
      <c r="L111" s="8"/>
      <c r="M111" s="7"/>
      <c r="N111" s="7"/>
    </row>
    <row r="112" spans="1:14" ht="24" customHeight="1">
      <c r="A112" s="6" t="s">
        <v>605</v>
      </c>
      <c r="B112" s="6" t="s">
        <v>23</v>
      </c>
      <c r="C112" s="6" t="s">
        <v>606</v>
      </c>
      <c r="D112" s="6" t="s">
        <v>6</v>
      </c>
      <c r="E112" s="6" t="s">
        <v>109</v>
      </c>
      <c r="F112" s="6" t="s">
        <v>607</v>
      </c>
      <c r="G112" s="6" t="s">
        <v>608</v>
      </c>
      <c r="H112" s="6" t="s">
        <v>609</v>
      </c>
      <c r="I112" s="7"/>
      <c r="J112" s="7"/>
      <c r="K112" s="7"/>
      <c r="L112" s="8"/>
      <c r="M112" s="7"/>
      <c r="N112" s="7"/>
    </row>
    <row r="113" spans="1:14" ht="24" customHeight="1">
      <c r="A113" s="6" t="s">
        <v>610</v>
      </c>
      <c r="B113" s="6" t="s">
        <v>23</v>
      </c>
      <c r="C113" s="6" t="s">
        <v>611</v>
      </c>
      <c r="D113" s="6" t="s">
        <v>6</v>
      </c>
      <c r="E113" s="6" t="s">
        <v>6</v>
      </c>
      <c r="F113" s="6" t="s">
        <v>612</v>
      </c>
      <c r="G113" s="6" t="s">
        <v>613</v>
      </c>
      <c r="H113" s="6" t="s">
        <v>614</v>
      </c>
      <c r="I113" s="7"/>
      <c r="J113" s="7"/>
      <c r="K113" s="7"/>
      <c r="L113" s="8"/>
      <c r="M113" s="7"/>
      <c r="N113" s="7"/>
    </row>
    <row r="114" spans="1:14" ht="24" customHeight="1">
      <c r="A114" s="6" t="s">
        <v>615</v>
      </c>
      <c r="B114" s="6" t="s">
        <v>23</v>
      </c>
      <c r="C114" s="6" t="s">
        <v>616</v>
      </c>
      <c r="D114" s="6" t="s">
        <v>6</v>
      </c>
      <c r="E114" s="6" t="s">
        <v>6</v>
      </c>
      <c r="F114" s="6" t="s">
        <v>617</v>
      </c>
      <c r="G114" s="6" t="s">
        <v>618</v>
      </c>
      <c r="H114" s="6" t="s">
        <v>619</v>
      </c>
      <c r="I114" s="7"/>
      <c r="J114" s="7"/>
      <c r="K114" s="7"/>
      <c r="L114" s="8"/>
      <c r="M114" s="7"/>
      <c r="N114" s="7"/>
    </row>
    <row r="115" spans="1:14" ht="24" customHeight="1">
      <c r="A115" s="6" t="s">
        <v>620</v>
      </c>
      <c r="B115" s="6" t="s">
        <v>23</v>
      </c>
      <c r="C115" s="6" t="s">
        <v>621</v>
      </c>
      <c r="D115" s="6" t="s">
        <v>6</v>
      </c>
      <c r="E115" s="6" t="s">
        <v>6</v>
      </c>
      <c r="F115" s="6" t="s">
        <v>622</v>
      </c>
      <c r="G115" s="6" t="s">
        <v>623</v>
      </c>
      <c r="H115" s="6" t="s">
        <v>624</v>
      </c>
      <c r="I115" s="7"/>
      <c r="J115" s="7"/>
      <c r="K115" s="7"/>
      <c r="L115" s="8"/>
      <c r="M115" s="7"/>
      <c r="N115" s="7"/>
    </row>
    <row r="116" spans="1:14" ht="24" customHeight="1">
      <c r="A116" s="6" t="s">
        <v>625</v>
      </c>
      <c r="B116" s="6" t="s">
        <v>23</v>
      </c>
      <c r="C116" s="6" t="s">
        <v>626</v>
      </c>
      <c r="D116" s="6" t="s">
        <v>6</v>
      </c>
      <c r="E116" s="6" t="s">
        <v>174</v>
      </c>
      <c r="F116" s="6" t="s">
        <v>627</v>
      </c>
      <c r="G116" s="6" t="s">
        <v>628</v>
      </c>
      <c r="H116" s="6" t="s">
        <v>629</v>
      </c>
      <c r="I116" s="7"/>
      <c r="J116" s="7"/>
      <c r="K116" s="7"/>
      <c r="L116" s="8"/>
      <c r="M116" s="7"/>
      <c r="N116" s="7"/>
    </row>
    <row r="117" spans="1:14" ht="36" customHeight="1">
      <c r="A117" s="6" t="s">
        <v>630</v>
      </c>
      <c r="B117" s="6" t="s">
        <v>23</v>
      </c>
      <c r="C117" s="6" t="s">
        <v>631</v>
      </c>
      <c r="D117" s="6" t="s">
        <v>6</v>
      </c>
      <c r="E117" s="6" t="s">
        <v>6</v>
      </c>
      <c r="F117" s="6" t="s">
        <v>632</v>
      </c>
      <c r="G117" s="6" t="s">
        <v>633</v>
      </c>
      <c r="H117" s="6" t="s">
        <v>634</v>
      </c>
      <c r="I117" s="7"/>
      <c r="J117" s="7"/>
      <c r="K117" s="7"/>
      <c r="L117" s="8"/>
      <c r="M117" s="7"/>
      <c r="N117" s="7"/>
    </row>
    <row r="118" spans="1:14" ht="24" customHeight="1">
      <c r="A118" s="6" t="s">
        <v>635</v>
      </c>
      <c r="B118" s="6" t="s">
        <v>24</v>
      </c>
      <c r="C118" s="6" t="s">
        <v>636</v>
      </c>
      <c r="D118" s="6" t="s">
        <v>6</v>
      </c>
      <c r="E118" s="6" t="s">
        <v>6</v>
      </c>
      <c r="F118" s="6" t="s">
        <v>637</v>
      </c>
      <c r="G118" s="6" t="s">
        <v>638</v>
      </c>
      <c r="H118" s="6" t="s">
        <v>639</v>
      </c>
      <c r="I118" s="7"/>
      <c r="J118" s="7"/>
      <c r="K118" s="7"/>
      <c r="L118" s="8"/>
      <c r="M118" s="7"/>
      <c r="N118" s="7"/>
    </row>
    <row r="119" spans="1:14" ht="24" customHeight="1">
      <c r="A119" s="6" t="s">
        <v>640</v>
      </c>
      <c r="B119" s="6" t="s">
        <v>24</v>
      </c>
      <c r="C119" s="6" t="s">
        <v>641</v>
      </c>
      <c r="D119" s="6" t="s">
        <v>6</v>
      </c>
      <c r="E119" s="6" t="s">
        <v>109</v>
      </c>
      <c r="F119" s="6" t="s">
        <v>642</v>
      </c>
      <c r="G119" s="6" t="s">
        <v>643</v>
      </c>
      <c r="H119" s="6" t="s">
        <v>644</v>
      </c>
      <c r="I119" s="7"/>
      <c r="J119" s="7"/>
      <c r="K119" s="7"/>
      <c r="L119" s="8"/>
      <c r="M119" s="7"/>
      <c r="N119" s="7"/>
    </row>
    <row r="120" spans="1:14" ht="15" customHeight="1">
      <c r="A120" s="6" t="s">
        <v>645</v>
      </c>
      <c r="B120" s="6" t="s">
        <v>24</v>
      </c>
      <c r="C120" s="6" t="s">
        <v>646</v>
      </c>
      <c r="D120" s="6" t="s">
        <v>6</v>
      </c>
      <c r="E120" s="6" t="s">
        <v>6</v>
      </c>
      <c r="F120" s="6" t="s">
        <v>647</v>
      </c>
      <c r="G120" s="6" t="s">
        <v>648</v>
      </c>
      <c r="H120" s="6" t="s">
        <v>649</v>
      </c>
      <c r="I120" s="7"/>
      <c r="J120" s="7"/>
      <c r="K120" s="7"/>
      <c r="L120" s="8"/>
      <c r="M120" s="7"/>
      <c r="N120" s="7"/>
    </row>
    <row r="121" spans="1:14" ht="24" customHeight="1">
      <c r="A121" s="6" t="s">
        <v>650</v>
      </c>
      <c r="B121" s="6" t="s">
        <v>24</v>
      </c>
      <c r="C121" s="6" t="s">
        <v>651</v>
      </c>
      <c r="D121" s="6" t="s">
        <v>6</v>
      </c>
      <c r="E121" s="6" t="s">
        <v>6</v>
      </c>
      <c r="F121" s="6" t="s">
        <v>652</v>
      </c>
      <c r="G121" s="6" t="s">
        <v>653</v>
      </c>
      <c r="H121" s="6" t="s">
        <v>654</v>
      </c>
      <c r="I121" s="7"/>
      <c r="J121" s="7"/>
      <c r="K121" s="7"/>
      <c r="L121" s="8"/>
      <c r="M121" s="7"/>
      <c r="N121" s="7"/>
    </row>
    <row r="122" spans="1:14" ht="15" customHeight="1">
      <c r="A122" s="6" t="s">
        <v>655</v>
      </c>
      <c r="B122" s="6" t="s">
        <v>24</v>
      </c>
      <c r="C122" s="6" t="s">
        <v>656</v>
      </c>
      <c r="D122" s="6" t="s">
        <v>6</v>
      </c>
      <c r="E122" s="6" t="s">
        <v>6</v>
      </c>
      <c r="F122" s="6" t="s">
        <v>657</v>
      </c>
      <c r="G122" s="6" t="s">
        <v>658</v>
      </c>
      <c r="H122" s="6" t="s">
        <v>659</v>
      </c>
      <c r="I122" s="7"/>
      <c r="J122" s="7"/>
      <c r="K122" s="7"/>
      <c r="L122" s="8"/>
      <c r="M122" s="7"/>
      <c r="N122" s="7"/>
    </row>
    <row r="123" spans="1:14" ht="24" customHeight="1">
      <c r="A123" s="6" t="s">
        <v>660</v>
      </c>
      <c r="B123" s="6" t="s">
        <v>24</v>
      </c>
      <c r="C123" s="6" t="s">
        <v>661</v>
      </c>
      <c r="D123" s="6" t="s">
        <v>6</v>
      </c>
      <c r="E123" s="6" t="s">
        <v>92</v>
      </c>
      <c r="F123" s="6" t="s">
        <v>662</v>
      </c>
      <c r="G123" s="6" t="s">
        <v>663</v>
      </c>
      <c r="H123" s="6" t="s">
        <v>664</v>
      </c>
      <c r="I123" s="7"/>
      <c r="J123" s="7"/>
      <c r="K123" s="7"/>
      <c r="L123" s="8"/>
      <c r="M123" s="7"/>
      <c r="N123" s="7"/>
    </row>
    <row r="124" spans="1:14" ht="24" customHeight="1">
      <c r="A124" s="6" t="s">
        <v>665</v>
      </c>
      <c r="B124" s="6" t="s">
        <v>24</v>
      </c>
      <c r="C124" s="6" t="s">
        <v>666</v>
      </c>
      <c r="D124" s="6" t="s">
        <v>6</v>
      </c>
      <c r="E124" s="6" t="s">
        <v>6</v>
      </c>
      <c r="F124" s="6" t="s">
        <v>667</v>
      </c>
      <c r="G124" s="6" t="s">
        <v>668</v>
      </c>
      <c r="H124" s="6" t="s">
        <v>669</v>
      </c>
      <c r="I124" s="7"/>
      <c r="J124" s="7"/>
      <c r="K124" s="7"/>
      <c r="L124" s="8"/>
      <c r="M124" s="7"/>
      <c r="N124" s="7"/>
    </row>
    <row r="125" spans="1:14" ht="24" customHeight="1">
      <c r="A125" s="6" t="s">
        <v>670</v>
      </c>
      <c r="B125" s="6" t="s">
        <v>24</v>
      </c>
      <c r="C125" s="6" t="s">
        <v>671</v>
      </c>
      <c r="D125" s="6" t="s">
        <v>6</v>
      </c>
      <c r="E125" s="6" t="s">
        <v>6</v>
      </c>
      <c r="F125" s="6" t="s">
        <v>672</v>
      </c>
      <c r="G125" s="6" t="s">
        <v>673</v>
      </c>
      <c r="H125" s="6" t="s">
        <v>674</v>
      </c>
      <c r="I125" s="7"/>
      <c r="J125" s="7"/>
      <c r="K125" s="7"/>
      <c r="L125" s="8"/>
      <c r="M125" s="7"/>
      <c r="N125" s="7"/>
    </row>
    <row r="126" spans="1:14" ht="24" customHeight="1">
      <c r="A126" s="6" t="s">
        <v>675</v>
      </c>
      <c r="B126" s="6" t="s">
        <v>24</v>
      </c>
      <c r="C126" s="6" t="s">
        <v>676</v>
      </c>
      <c r="D126" s="6" t="s">
        <v>6</v>
      </c>
      <c r="E126" s="6" t="s">
        <v>6</v>
      </c>
      <c r="F126" s="6" t="s">
        <v>677</v>
      </c>
      <c r="G126" s="6" t="s">
        <v>678</v>
      </c>
      <c r="H126" s="6" t="s">
        <v>679</v>
      </c>
      <c r="I126" s="7"/>
      <c r="J126" s="7"/>
      <c r="K126" s="7"/>
      <c r="L126" s="8"/>
      <c r="M126" s="7"/>
      <c r="N126" s="7"/>
    </row>
    <row r="127" spans="1:14" ht="24" customHeight="1">
      <c r="A127" s="6" t="s">
        <v>680</v>
      </c>
      <c r="B127" s="6" t="s">
        <v>24</v>
      </c>
      <c r="C127" s="6" t="s">
        <v>681</v>
      </c>
      <c r="D127" s="6" t="s">
        <v>6</v>
      </c>
      <c r="E127" s="6" t="s">
        <v>6</v>
      </c>
      <c r="F127" s="6" t="s">
        <v>682</v>
      </c>
      <c r="G127" s="6" t="s">
        <v>683</v>
      </c>
      <c r="H127" s="6" t="s">
        <v>684</v>
      </c>
      <c r="I127" s="7"/>
      <c r="J127" s="7"/>
      <c r="K127" s="7"/>
      <c r="L127" s="8"/>
      <c r="M127" s="7"/>
      <c r="N127" s="7"/>
    </row>
    <row r="128" spans="1:14" ht="24" customHeight="1">
      <c r="A128" s="6" t="s">
        <v>685</v>
      </c>
      <c r="B128" s="6" t="s">
        <v>24</v>
      </c>
      <c r="C128" s="6" t="s">
        <v>686</v>
      </c>
      <c r="D128" s="6" t="s">
        <v>6</v>
      </c>
      <c r="E128" s="6" t="s">
        <v>6</v>
      </c>
      <c r="F128" s="6" t="s">
        <v>687</v>
      </c>
      <c r="G128" s="6" t="s">
        <v>688</v>
      </c>
      <c r="H128" s="6" t="s">
        <v>689</v>
      </c>
      <c r="I128" s="7"/>
      <c r="J128" s="7"/>
      <c r="K128" s="7"/>
      <c r="L128" s="8"/>
      <c r="M128" s="7"/>
      <c r="N128" s="7"/>
    </row>
    <row r="129" spans="1:14" ht="24" customHeight="1">
      <c r="A129" s="6" t="s">
        <v>690</v>
      </c>
      <c r="B129" s="6" t="s">
        <v>25</v>
      </c>
      <c r="C129" s="6" t="s">
        <v>691</v>
      </c>
      <c r="D129" s="6" t="s">
        <v>6</v>
      </c>
      <c r="E129" s="6" t="s">
        <v>6</v>
      </c>
      <c r="F129" s="6" t="s">
        <v>692</v>
      </c>
      <c r="G129" s="6" t="s">
        <v>693</v>
      </c>
      <c r="H129" s="6" t="s">
        <v>694</v>
      </c>
      <c r="I129" s="7"/>
      <c r="J129" s="7"/>
      <c r="K129" s="7"/>
      <c r="L129" s="8"/>
      <c r="M129" s="7"/>
      <c r="N129" s="7"/>
    </row>
    <row r="130" spans="1:14" ht="24" customHeight="1">
      <c r="A130" s="6" t="s">
        <v>695</v>
      </c>
      <c r="B130" s="6" t="s">
        <v>25</v>
      </c>
      <c r="C130" s="6" t="s">
        <v>696</v>
      </c>
      <c r="D130" s="6" t="s">
        <v>6</v>
      </c>
      <c r="E130" s="6" t="s">
        <v>6</v>
      </c>
      <c r="F130" s="6" t="s">
        <v>697</v>
      </c>
      <c r="G130" s="6" t="s">
        <v>698</v>
      </c>
      <c r="H130" s="6" t="s">
        <v>699</v>
      </c>
      <c r="I130" s="7"/>
      <c r="J130" s="7"/>
      <c r="K130" s="7"/>
      <c r="L130" s="8"/>
      <c r="M130" s="7"/>
      <c r="N130" s="7"/>
    </row>
    <row r="131" spans="1:14" ht="24" customHeight="1">
      <c r="A131" s="6" t="s">
        <v>700</v>
      </c>
      <c r="B131" s="6" t="s">
        <v>25</v>
      </c>
      <c r="C131" s="6" t="s">
        <v>701</v>
      </c>
      <c r="D131" s="6" t="s">
        <v>6</v>
      </c>
      <c r="E131" s="6" t="s">
        <v>6</v>
      </c>
      <c r="F131" s="6" t="s">
        <v>702</v>
      </c>
      <c r="G131" s="6" t="s">
        <v>703</v>
      </c>
      <c r="H131" s="6" t="s">
        <v>704</v>
      </c>
      <c r="I131" s="7"/>
      <c r="J131" s="7"/>
      <c r="K131" s="7"/>
      <c r="L131" s="8"/>
      <c r="M131" s="7"/>
      <c r="N131" s="7"/>
    </row>
    <row r="132" spans="1:14" ht="15" customHeight="1">
      <c r="A132" s="6" t="s">
        <v>705</v>
      </c>
      <c r="B132" s="6" t="s">
        <v>25</v>
      </c>
      <c r="C132" s="6" t="s">
        <v>706</v>
      </c>
      <c r="D132" s="6" t="s">
        <v>6</v>
      </c>
      <c r="E132" s="6" t="s">
        <v>109</v>
      </c>
      <c r="F132" s="6" t="s">
        <v>707</v>
      </c>
      <c r="G132" s="6" t="s">
        <v>708</v>
      </c>
      <c r="H132" s="6" t="s">
        <v>709</v>
      </c>
      <c r="I132" s="7"/>
      <c r="J132" s="7"/>
      <c r="K132" s="7"/>
      <c r="L132" s="8"/>
      <c r="M132" s="7"/>
      <c r="N132" s="7"/>
    </row>
    <row r="133" spans="1:14" ht="24" customHeight="1">
      <c r="A133" s="6" t="s">
        <v>710</v>
      </c>
      <c r="B133" s="6" t="s">
        <v>25</v>
      </c>
      <c r="C133" s="6" t="s">
        <v>711</v>
      </c>
      <c r="D133" s="6" t="s">
        <v>6</v>
      </c>
      <c r="E133" s="6" t="s">
        <v>6</v>
      </c>
      <c r="F133" s="6" t="s">
        <v>712</v>
      </c>
      <c r="G133" s="6" t="s">
        <v>713</v>
      </c>
      <c r="H133" s="6" t="s">
        <v>714</v>
      </c>
      <c r="I133" s="7"/>
      <c r="J133" s="7"/>
      <c r="K133" s="7"/>
      <c r="L133" s="8"/>
      <c r="M133" s="7"/>
      <c r="N133" s="7"/>
    </row>
    <row r="134" spans="1:14" ht="24" customHeight="1">
      <c r="A134" s="6" t="s">
        <v>715</v>
      </c>
      <c r="B134" s="6" t="s">
        <v>25</v>
      </c>
      <c r="C134" s="6" t="s">
        <v>716</v>
      </c>
      <c r="D134" s="6" t="s">
        <v>6</v>
      </c>
      <c r="E134" s="6" t="s">
        <v>6</v>
      </c>
      <c r="F134" s="6" t="s">
        <v>717</v>
      </c>
      <c r="G134" s="6" t="s">
        <v>718</v>
      </c>
      <c r="H134" s="6" t="s">
        <v>719</v>
      </c>
      <c r="I134" s="7"/>
      <c r="J134" s="7"/>
      <c r="K134" s="7"/>
      <c r="L134" s="8"/>
      <c r="M134" s="7"/>
      <c r="N134" s="7"/>
    </row>
    <row r="135" spans="1:14" ht="24" customHeight="1">
      <c r="A135" s="6" t="s">
        <v>720</v>
      </c>
      <c r="B135" s="6" t="s">
        <v>25</v>
      </c>
      <c r="C135" s="6" t="s">
        <v>721</v>
      </c>
      <c r="D135" s="6" t="s">
        <v>6</v>
      </c>
      <c r="E135" s="6" t="s">
        <v>6</v>
      </c>
      <c r="F135" s="6" t="s">
        <v>722</v>
      </c>
      <c r="G135" s="6" t="s">
        <v>723</v>
      </c>
      <c r="H135" s="6" t="s">
        <v>724</v>
      </c>
      <c r="I135" s="7"/>
      <c r="J135" s="7"/>
      <c r="K135" s="7"/>
      <c r="L135" s="8"/>
      <c r="M135" s="7"/>
      <c r="N135" s="7"/>
    </row>
    <row r="136" spans="1:14" ht="24" customHeight="1">
      <c r="A136" s="6" t="s">
        <v>725</v>
      </c>
      <c r="B136" s="6" t="s">
        <v>25</v>
      </c>
      <c r="C136" s="6" t="s">
        <v>726</v>
      </c>
      <c r="D136" s="6" t="s">
        <v>6</v>
      </c>
      <c r="E136" s="6" t="s">
        <v>6</v>
      </c>
      <c r="F136" s="6" t="s">
        <v>727</v>
      </c>
      <c r="G136" s="6" t="s">
        <v>728</v>
      </c>
      <c r="H136" s="6" t="s">
        <v>729</v>
      </c>
      <c r="I136" s="7"/>
      <c r="J136" s="7"/>
      <c r="K136" s="7"/>
      <c r="L136" s="8"/>
      <c r="M136" s="7"/>
      <c r="N136" s="7"/>
    </row>
    <row r="137" spans="1:14" ht="15" customHeight="1">
      <c r="A137" s="6" t="s">
        <v>730</v>
      </c>
      <c r="B137" s="6" t="s">
        <v>25</v>
      </c>
      <c r="C137" s="6" t="s">
        <v>731</v>
      </c>
      <c r="D137" s="6" t="s">
        <v>6</v>
      </c>
      <c r="E137" s="6" t="s">
        <v>6</v>
      </c>
      <c r="F137" s="6" t="s">
        <v>732</v>
      </c>
      <c r="G137" s="6" t="s">
        <v>733</v>
      </c>
      <c r="H137" s="6" t="s">
        <v>734</v>
      </c>
      <c r="I137" s="7"/>
      <c r="J137" s="7"/>
      <c r="K137" s="7"/>
      <c r="L137" s="8"/>
      <c r="M137" s="7"/>
      <c r="N137" s="7"/>
    </row>
    <row r="138" spans="1:14" ht="15" customHeight="1">
      <c r="A138" s="6" t="s">
        <v>735</v>
      </c>
      <c r="B138" s="6" t="s">
        <v>25</v>
      </c>
      <c r="C138" s="6" t="s">
        <v>736</v>
      </c>
      <c r="D138" s="6" t="s">
        <v>6</v>
      </c>
      <c r="E138" s="6" t="s">
        <v>6</v>
      </c>
      <c r="F138" s="6" t="s">
        <v>737</v>
      </c>
      <c r="G138" s="6" t="s">
        <v>738</v>
      </c>
      <c r="H138" s="6" t="s">
        <v>739</v>
      </c>
      <c r="I138" s="7"/>
      <c r="J138" s="7"/>
      <c r="K138" s="7"/>
      <c r="L138" s="8"/>
      <c r="M138" s="7"/>
      <c r="N138" s="7"/>
    </row>
    <row r="139" spans="1:14" ht="24" customHeight="1">
      <c r="A139" s="6" t="s">
        <v>740</v>
      </c>
      <c r="B139" s="6" t="s">
        <v>25</v>
      </c>
      <c r="C139" s="6" t="s">
        <v>741</v>
      </c>
      <c r="D139" s="6" t="s">
        <v>6</v>
      </c>
      <c r="E139" s="6" t="s">
        <v>6</v>
      </c>
      <c r="F139" s="6" t="s">
        <v>742</v>
      </c>
      <c r="G139" s="6" t="s">
        <v>743</v>
      </c>
      <c r="H139" s="6" t="s">
        <v>744</v>
      </c>
      <c r="I139" s="7"/>
      <c r="J139" s="7"/>
      <c r="K139" s="7"/>
      <c r="L139" s="8"/>
      <c r="M139" s="7"/>
      <c r="N139" s="7"/>
    </row>
    <row r="140" spans="1:14" ht="24" customHeight="1">
      <c r="A140" s="6" t="s">
        <v>745</v>
      </c>
      <c r="B140" s="6" t="s">
        <v>25</v>
      </c>
      <c r="C140" s="6" t="s">
        <v>746</v>
      </c>
      <c r="D140" s="6" t="s">
        <v>6</v>
      </c>
      <c r="E140" s="6" t="s">
        <v>6</v>
      </c>
      <c r="F140" s="6" t="s">
        <v>747</v>
      </c>
      <c r="G140" s="6" t="s">
        <v>748</v>
      </c>
      <c r="H140" s="6" t="s">
        <v>749</v>
      </c>
      <c r="I140" s="7"/>
      <c r="J140" s="7"/>
      <c r="K140" s="7"/>
      <c r="L140" s="8"/>
      <c r="M140" s="7"/>
      <c r="N140" s="7"/>
    </row>
    <row r="141" spans="1:14" ht="24" customHeight="1">
      <c r="A141" s="6" t="s">
        <v>750</v>
      </c>
      <c r="B141" s="6" t="s">
        <v>25</v>
      </c>
      <c r="C141" s="6" t="s">
        <v>751</v>
      </c>
      <c r="D141" s="6" t="s">
        <v>6</v>
      </c>
      <c r="E141" s="6" t="s">
        <v>6</v>
      </c>
      <c r="F141" s="6" t="s">
        <v>752</v>
      </c>
      <c r="G141" s="6" t="s">
        <v>753</v>
      </c>
      <c r="H141" s="6" t="s">
        <v>754</v>
      </c>
      <c r="I141" s="7"/>
      <c r="J141" s="7"/>
      <c r="K141" s="7"/>
      <c r="L141" s="8"/>
      <c r="M141" s="7"/>
      <c r="N141" s="7"/>
    </row>
    <row r="142" spans="1:14" ht="24" customHeight="1">
      <c r="A142" s="6" t="s">
        <v>755</v>
      </c>
      <c r="B142" s="6" t="s">
        <v>25</v>
      </c>
      <c r="C142" s="6" t="s">
        <v>756</v>
      </c>
      <c r="D142" s="6" t="s">
        <v>6</v>
      </c>
      <c r="E142" s="6" t="s">
        <v>6</v>
      </c>
      <c r="F142" s="6" t="s">
        <v>757</v>
      </c>
      <c r="G142" s="6" t="s">
        <v>758</v>
      </c>
      <c r="H142" s="6" t="s">
        <v>759</v>
      </c>
      <c r="I142" s="7"/>
      <c r="J142" s="7"/>
      <c r="K142" s="7"/>
      <c r="L142" s="8"/>
      <c r="M142" s="7"/>
      <c r="N142" s="7"/>
    </row>
    <row r="143" spans="1:14" ht="24" customHeight="1">
      <c r="A143" s="6" t="s">
        <v>760</v>
      </c>
      <c r="B143" s="6" t="s">
        <v>25</v>
      </c>
      <c r="C143" s="6" t="s">
        <v>761</v>
      </c>
      <c r="D143" s="6" t="s">
        <v>6</v>
      </c>
      <c r="E143" s="6" t="s">
        <v>6</v>
      </c>
      <c r="F143" s="6" t="s">
        <v>762</v>
      </c>
      <c r="G143" s="6" t="s">
        <v>763</v>
      </c>
      <c r="H143" s="6" t="s">
        <v>764</v>
      </c>
      <c r="I143" s="7"/>
      <c r="J143" s="7"/>
      <c r="K143" s="7"/>
      <c r="L143" s="8"/>
      <c r="M143" s="7"/>
      <c r="N143" s="7"/>
    </row>
    <row r="144" spans="1:14" ht="24" customHeight="1">
      <c r="A144" s="6" t="s">
        <v>765</v>
      </c>
      <c r="B144" s="6" t="s">
        <v>25</v>
      </c>
      <c r="C144" s="6" t="s">
        <v>766</v>
      </c>
      <c r="D144" s="6" t="s">
        <v>8</v>
      </c>
      <c r="E144" s="6" t="s">
        <v>767</v>
      </c>
      <c r="F144" s="6" t="s">
        <v>768</v>
      </c>
      <c r="G144" s="6" t="s">
        <v>769</v>
      </c>
      <c r="H144" s="6" t="s">
        <v>770</v>
      </c>
      <c r="I144" s="7"/>
      <c r="J144" s="7"/>
      <c r="K144" s="7"/>
      <c r="L144" s="8"/>
      <c r="M144" s="7"/>
      <c r="N144" s="7"/>
    </row>
    <row r="145" spans="1:14" ht="24" customHeight="1">
      <c r="A145" s="6" t="s">
        <v>771</v>
      </c>
      <c r="B145" s="6" t="s">
        <v>26</v>
      </c>
      <c r="C145" s="6" t="s">
        <v>772</v>
      </c>
      <c r="D145" s="6" t="s">
        <v>6</v>
      </c>
      <c r="E145" s="6" t="s">
        <v>6</v>
      </c>
      <c r="F145" s="6" t="s">
        <v>773</v>
      </c>
      <c r="G145" s="6" t="s">
        <v>774</v>
      </c>
      <c r="H145" s="6" t="s">
        <v>775</v>
      </c>
      <c r="I145" s="7"/>
      <c r="J145" s="7"/>
      <c r="K145" s="7"/>
      <c r="L145" s="8"/>
      <c r="M145" s="7"/>
      <c r="N145" s="7"/>
    </row>
    <row r="146" spans="1:14" ht="24" customHeight="1">
      <c r="A146" s="6" t="s">
        <v>776</v>
      </c>
      <c r="B146" s="6" t="s">
        <v>26</v>
      </c>
      <c r="C146" s="6" t="s">
        <v>777</v>
      </c>
      <c r="D146" s="6" t="s">
        <v>6</v>
      </c>
      <c r="E146" s="6" t="s">
        <v>6</v>
      </c>
      <c r="F146" s="6" t="s">
        <v>778</v>
      </c>
      <c r="G146" s="6" t="s">
        <v>779</v>
      </c>
      <c r="H146" s="6" t="s">
        <v>780</v>
      </c>
      <c r="I146" s="7"/>
      <c r="J146" s="7"/>
      <c r="K146" s="7"/>
      <c r="L146" s="8"/>
      <c r="M146" s="7"/>
      <c r="N146" s="7"/>
    </row>
    <row r="147" spans="1:14" ht="24" customHeight="1">
      <c r="A147" s="6" t="s">
        <v>781</v>
      </c>
      <c r="B147" s="6" t="s">
        <v>26</v>
      </c>
      <c r="C147" s="6" t="s">
        <v>782</v>
      </c>
      <c r="D147" s="6" t="s">
        <v>6</v>
      </c>
      <c r="E147" s="6" t="s">
        <v>6</v>
      </c>
      <c r="F147" s="6" t="s">
        <v>783</v>
      </c>
      <c r="G147" s="6" t="s">
        <v>784</v>
      </c>
      <c r="H147" s="6" t="s">
        <v>785</v>
      </c>
      <c r="I147" s="7"/>
      <c r="J147" s="7"/>
      <c r="K147" s="7"/>
      <c r="L147" s="8"/>
      <c r="M147" s="7"/>
      <c r="N147" s="7"/>
    </row>
    <row r="148" spans="1:14" ht="15" customHeight="1">
      <c r="A148" s="6" t="s">
        <v>786</v>
      </c>
      <c r="B148" s="6" t="s">
        <v>26</v>
      </c>
      <c r="C148" s="6" t="s">
        <v>787</v>
      </c>
      <c r="D148" s="6" t="s">
        <v>6</v>
      </c>
      <c r="E148" s="6" t="s">
        <v>109</v>
      </c>
      <c r="F148" s="6" t="s">
        <v>788</v>
      </c>
      <c r="G148" s="6" t="s">
        <v>789</v>
      </c>
      <c r="H148" s="6" t="s">
        <v>790</v>
      </c>
      <c r="I148" s="7"/>
      <c r="J148" s="7"/>
      <c r="K148" s="7"/>
      <c r="L148" s="8"/>
      <c r="M148" s="7"/>
      <c r="N148" s="7"/>
    </row>
    <row r="149" spans="1:14" ht="24" customHeight="1">
      <c r="A149" s="6" t="s">
        <v>791</v>
      </c>
      <c r="B149" s="6" t="s">
        <v>26</v>
      </c>
      <c r="C149" s="6" t="s">
        <v>792</v>
      </c>
      <c r="D149" s="6" t="s">
        <v>6</v>
      </c>
      <c r="E149" s="6" t="s">
        <v>6</v>
      </c>
      <c r="F149" s="6" t="s">
        <v>793</v>
      </c>
      <c r="G149" s="6" t="s">
        <v>794</v>
      </c>
      <c r="H149" s="6" t="s">
        <v>795</v>
      </c>
      <c r="I149" s="7"/>
      <c r="J149" s="7"/>
      <c r="K149" s="7"/>
      <c r="L149" s="8"/>
      <c r="M149" s="7"/>
      <c r="N149" s="7"/>
    </row>
    <row r="150" spans="1:14" ht="24" customHeight="1">
      <c r="A150" s="6" t="s">
        <v>796</v>
      </c>
      <c r="B150" s="6" t="s">
        <v>26</v>
      </c>
      <c r="C150" s="6" t="s">
        <v>797</v>
      </c>
      <c r="D150" s="6" t="s">
        <v>6</v>
      </c>
      <c r="E150" s="6" t="s">
        <v>6</v>
      </c>
      <c r="F150" s="6" t="s">
        <v>798</v>
      </c>
      <c r="G150" s="6" t="s">
        <v>799</v>
      </c>
      <c r="H150" s="6" t="s">
        <v>800</v>
      </c>
      <c r="I150" s="7"/>
      <c r="J150" s="7"/>
      <c r="K150" s="7"/>
      <c r="L150" s="8"/>
      <c r="M150" s="7"/>
      <c r="N150" s="7"/>
    </row>
    <row r="151" spans="1:14" ht="24" customHeight="1">
      <c r="A151" s="6" t="s">
        <v>801</v>
      </c>
      <c r="B151" s="6" t="s">
        <v>26</v>
      </c>
      <c r="C151" s="6" t="s">
        <v>802</v>
      </c>
      <c r="D151" s="6" t="s">
        <v>6</v>
      </c>
      <c r="E151" s="6" t="s">
        <v>6</v>
      </c>
      <c r="F151" s="6" t="s">
        <v>803</v>
      </c>
      <c r="G151" s="6" t="s">
        <v>804</v>
      </c>
      <c r="H151" s="6" t="s">
        <v>805</v>
      </c>
      <c r="I151" s="7"/>
      <c r="J151" s="7"/>
      <c r="K151" s="7"/>
      <c r="L151" s="8"/>
      <c r="M151" s="7"/>
      <c r="N151" s="7"/>
    </row>
    <row r="152" spans="1:14" ht="24" customHeight="1">
      <c r="A152" s="6" t="s">
        <v>806</v>
      </c>
      <c r="B152" s="6" t="s">
        <v>26</v>
      </c>
      <c r="C152" s="6" t="s">
        <v>807</v>
      </c>
      <c r="D152" s="6" t="s">
        <v>6</v>
      </c>
      <c r="E152" s="6" t="s">
        <v>6</v>
      </c>
      <c r="F152" s="6" t="s">
        <v>808</v>
      </c>
      <c r="G152" s="6" t="s">
        <v>809</v>
      </c>
      <c r="H152" s="6" t="s">
        <v>810</v>
      </c>
      <c r="I152" s="7"/>
      <c r="J152" s="7"/>
      <c r="K152" s="7"/>
      <c r="L152" s="8"/>
      <c r="M152" s="7"/>
      <c r="N152" s="7"/>
    </row>
    <row r="153" spans="1:14" ht="24" customHeight="1">
      <c r="A153" s="6" t="s">
        <v>811</v>
      </c>
      <c r="B153" s="6" t="s">
        <v>26</v>
      </c>
      <c r="C153" s="6" t="s">
        <v>812</v>
      </c>
      <c r="D153" s="6" t="s">
        <v>6</v>
      </c>
      <c r="E153" s="6" t="s">
        <v>6</v>
      </c>
      <c r="F153" s="6" t="s">
        <v>813</v>
      </c>
      <c r="G153" s="6" t="s">
        <v>814</v>
      </c>
      <c r="H153" s="6" t="s">
        <v>815</v>
      </c>
      <c r="I153" s="7"/>
      <c r="J153" s="7"/>
      <c r="K153" s="7"/>
      <c r="L153" s="8"/>
      <c r="M153" s="7"/>
      <c r="N153" s="7"/>
    </row>
    <row r="154" spans="1:14" ht="24" customHeight="1">
      <c r="A154" s="6" t="s">
        <v>816</v>
      </c>
      <c r="B154" s="6" t="s">
        <v>26</v>
      </c>
      <c r="C154" s="6" t="s">
        <v>817</v>
      </c>
      <c r="D154" s="6" t="s">
        <v>8</v>
      </c>
      <c r="E154" s="6" t="s">
        <v>767</v>
      </c>
      <c r="F154" s="6" t="s">
        <v>818</v>
      </c>
      <c r="G154" s="6" t="s">
        <v>819</v>
      </c>
      <c r="H154" s="6" t="s">
        <v>820</v>
      </c>
      <c r="I154" s="7"/>
      <c r="J154" s="7"/>
      <c r="K154" s="7"/>
      <c r="L154" s="8"/>
      <c r="M154" s="7"/>
      <c r="N154" s="7"/>
    </row>
    <row r="155" spans="1:14" ht="24" customHeight="1">
      <c r="A155" s="6" t="s">
        <v>821</v>
      </c>
      <c r="B155" s="6" t="s">
        <v>26</v>
      </c>
      <c r="C155" s="6" t="s">
        <v>822</v>
      </c>
      <c r="D155" s="6" t="s">
        <v>6</v>
      </c>
      <c r="E155" s="6" t="s">
        <v>6</v>
      </c>
      <c r="F155" s="6" t="s">
        <v>823</v>
      </c>
      <c r="G155" s="6" t="s">
        <v>824</v>
      </c>
      <c r="H155" s="6" t="s">
        <v>825</v>
      </c>
      <c r="I155" s="7"/>
      <c r="J155" s="7"/>
      <c r="K155" s="7"/>
      <c r="L155" s="8"/>
      <c r="M155" s="7"/>
      <c r="N155" s="7"/>
    </row>
    <row r="156" spans="1:14" ht="24" customHeight="1">
      <c r="A156" s="6" t="s">
        <v>826</v>
      </c>
      <c r="B156" s="6" t="s">
        <v>26</v>
      </c>
      <c r="C156" s="6" t="s">
        <v>827</v>
      </c>
      <c r="D156" s="6" t="s">
        <v>6</v>
      </c>
      <c r="E156" s="6" t="s">
        <v>6</v>
      </c>
      <c r="F156" s="6" t="s">
        <v>828</v>
      </c>
      <c r="G156" s="6" t="s">
        <v>829</v>
      </c>
      <c r="H156" s="6" t="s">
        <v>830</v>
      </c>
      <c r="I156" s="7"/>
      <c r="J156" s="7"/>
      <c r="K156" s="7"/>
      <c r="L156" s="8"/>
      <c r="M156" s="7"/>
      <c r="N156" s="7"/>
    </row>
    <row r="157" spans="1:14" ht="24" customHeight="1">
      <c r="A157" s="6" t="s">
        <v>831</v>
      </c>
      <c r="B157" s="6" t="s">
        <v>26</v>
      </c>
      <c r="C157" s="6" t="s">
        <v>832</v>
      </c>
      <c r="D157" s="6" t="s">
        <v>6</v>
      </c>
      <c r="E157" s="6" t="s">
        <v>6</v>
      </c>
      <c r="F157" s="6" t="s">
        <v>833</v>
      </c>
      <c r="G157" s="6" t="s">
        <v>834</v>
      </c>
      <c r="H157" s="6" t="s">
        <v>835</v>
      </c>
      <c r="I157" s="7"/>
      <c r="J157" s="7"/>
      <c r="K157" s="7"/>
      <c r="L157" s="8"/>
      <c r="M157" s="7"/>
      <c r="N157" s="7"/>
    </row>
    <row r="158" spans="1:14" ht="24" customHeight="1">
      <c r="A158" s="6" t="s">
        <v>836</v>
      </c>
      <c r="B158" s="6" t="s">
        <v>26</v>
      </c>
      <c r="C158" s="6" t="s">
        <v>837</v>
      </c>
      <c r="D158" s="6" t="s">
        <v>6</v>
      </c>
      <c r="E158" s="6" t="s">
        <v>6</v>
      </c>
      <c r="F158" s="6" t="s">
        <v>838</v>
      </c>
      <c r="G158" s="6" t="s">
        <v>839</v>
      </c>
      <c r="H158" s="6" t="s">
        <v>840</v>
      </c>
      <c r="I158" s="7"/>
      <c r="J158" s="7"/>
      <c r="K158" s="7"/>
      <c r="L158" s="8"/>
      <c r="M158" s="7"/>
      <c r="N158" s="7"/>
    </row>
    <row r="159" spans="1:14" ht="24" customHeight="1">
      <c r="A159" s="6" t="s">
        <v>841</v>
      </c>
      <c r="B159" s="6" t="s">
        <v>26</v>
      </c>
      <c r="C159" s="6" t="s">
        <v>842</v>
      </c>
      <c r="D159" s="6" t="s">
        <v>6</v>
      </c>
      <c r="E159" s="6" t="s">
        <v>6</v>
      </c>
      <c r="F159" s="6" t="s">
        <v>843</v>
      </c>
      <c r="G159" s="6" t="s">
        <v>844</v>
      </c>
      <c r="H159" s="6" t="s">
        <v>845</v>
      </c>
      <c r="I159" s="7"/>
      <c r="J159" s="7"/>
      <c r="K159" s="7"/>
      <c r="L159" s="8"/>
      <c r="M159" s="7"/>
      <c r="N159" s="7"/>
    </row>
    <row r="160" spans="1:14" ht="24" customHeight="1">
      <c r="A160" s="6" t="s">
        <v>846</v>
      </c>
      <c r="B160" s="6" t="s">
        <v>26</v>
      </c>
      <c r="C160" s="6" t="s">
        <v>847</v>
      </c>
      <c r="D160" s="6" t="s">
        <v>6</v>
      </c>
      <c r="E160" s="6" t="s">
        <v>6</v>
      </c>
      <c r="F160" s="6" t="s">
        <v>848</v>
      </c>
      <c r="G160" s="6" t="s">
        <v>849</v>
      </c>
      <c r="H160" s="6" t="s">
        <v>850</v>
      </c>
      <c r="I160" s="7"/>
      <c r="J160" s="7"/>
      <c r="K160" s="7"/>
      <c r="L160" s="8"/>
      <c r="M160" s="7"/>
      <c r="N160" s="7"/>
    </row>
    <row r="161" spans="1:14" ht="24" customHeight="1">
      <c r="A161" s="6" t="s">
        <v>851</v>
      </c>
      <c r="B161" s="6" t="s">
        <v>26</v>
      </c>
      <c r="C161" s="6" t="s">
        <v>852</v>
      </c>
      <c r="D161" s="6" t="s">
        <v>6</v>
      </c>
      <c r="E161" s="6" t="s">
        <v>6</v>
      </c>
      <c r="F161" s="6" t="s">
        <v>853</v>
      </c>
      <c r="G161" s="6" t="s">
        <v>854</v>
      </c>
      <c r="H161" s="6" t="s">
        <v>855</v>
      </c>
      <c r="I161" s="7"/>
      <c r="J161" s="7"/>
      <c r="K161" s="7"/>
      <c r="L161" s="8"/>
      <c r="M161" s="7"/>
      <c r="N161" s="7"/>
    </row>
    <row r="162" spans="1:14" ht="15" customHeight="1">
      <c r="A162" s="6" t="s">
        <v>856</v>
      </c>
      <c r="B162" s="6" t="s">
        <v>26</v>
      </c>
      <c r="C162" s="6" t="s">
        <v>857</v>
      </c>
      <c r="D162" s="6" t="s">
        <v>6</v>
      </c>
      <c r="E162" s="6" t="s">
        <v>109</v>
      </c>
      <c r="F162" s="6" t="s">
        <v>858</v>
      </c>
      <c r="G162" s="6" t="s">
        <v>859</v>
      </c>
      <c r="H162" s="6" t="s">
        <v>860</v>
      </c>
      <c r="I162" s="7"/>
      <c r="J162" s="7"/>
      <c r="K162" s="7"/>
      <c r="L162" s="8"/>
      <c r="M162" s="7"/>
      <c r="N162" s="7"/>
    </row>
    <row r="163" spans="1:14" ht="24" customHeight="1">
      <c r="A163" s="6" t="s">
        <v>861</v>
      </c>
      <c r="B163" s="6" t="s">
        <v>27</v>
      </c>
      <c r="C163" s="6" t="s">
        <v>862</v>
      </c>
      <c r="D163" s="6" t="s">
        <v>6</v>
      </c>
      <c r="E163" s="6" t="s">
        <v>6</v>
      </c>
      <c r="F163" s="6" t="s">
        <v>863</v>
      </c>
      <c r="G163" s="6" t="s">
        <v>864</v>
      </c>
      <c r="H163" s="6" t="s">
        <v>865</v>
      </c>
      <c r="I163" s="7"/>
      <c r="J163" s="7"/>
      <c r="K163" s="7"/>
      <c r="L163" s="8"/>
      <c r="M163" s="7"/>
      <c r="N163" s="7"/>
    </row>
    <row r="164" spans="1:14" ht="24" customHeight="1">
      <c r="A164" s="6" t="s">
        <v>866</v>
      </c>
      <c r="B164" s="6" t="s">
        <v>27</v>
      </c>
      <c r="C164" s="6" t="s">
        <v>867</v>
      </c>
      <c r="D164" s="6" t="s">
        <v>6</v>
      </c>
      <c r="E164" s="6" t="s">
        <v>6</v>
      </c>
      <c r="F164" s="6" t="s">
        <v>868</v>
      </c>
      <c r="G164" s="6" t="s">
        <v>869</v>
      </c>
      <c r="H164" s="6" t="s">
        <v>870</v>
      </c>
      <c r="I164" s="7"/>
      <c r="J164" s="7"/>
      <c r="K164" s="7"/>
      <c r="L164" s="8"/>
      <c r="M164" s="7"/>
      <c r="N164" s="7"/>
    </row>
    <row r="165" spans="1:14" ht="24" customHeight="1">
      <c r="A165" s="6" t="s">
        <v>871</v>
      </c>
      <c r="B165" s="6" t="s">
        <v>27</v>
      </c>
      <c r="C165" s="6" t="s">
        <v>872</v>
      </c>
      <c r="D165" s="6" t="s">
        <v>6</v>
      </c>
      <c r="E165" s="6" t="s">
        <v>6</v>
      </c>
      <c r="F165" s="6" t="s">
        <v>873</v>
      </c>
      <c r="G165" s="6" t="s">
        <v>874</v>
      </c>
      <c r="H165" s="6" t="s">
        <v>875</v>
      </c>
      <c r="I165" s="7"/>
      <c r="J165" s="7"/>
      <c r="K165" s="7"/>
      <c r="L165" s="8"/>
      <c r="M165" s="7"/>
      <c r="N165" s="7"/>
    </row>
    <row r="166" spans="1:14" ht="15" customHeight="1">
      <c r="A166" s="6" t="s">
        <v>876</v>
      </c>
      <c r="B166" s="6" t="s">
        <v>27</v>
      </c>
      <c r="C166" s="6" t="s">
        <v>877</v>
      </c>
      <c r="D166" s="6" t="s">
        <v>6</v>
      </c>
      <c r="E166" s="6" t="s">
        <v>174</v>
      </c>
      <c r="F166" s="6" t="s">
        <v>878</v>
      </c>
      <c r="G166" s="6" t="s">
        <v>879</v>
      </c>
      <c r="H166" s="6" t="s">
        <v>880</v>
      </c>
      <c r="I166" s="7"/>
      <c r="J166" s="7"/>
      <c r="K166" s="7"/>
      <c r="L166" s="8"/>
      <c r="M166" s="7"/>
      <c r="N166" s="7"/>
    </row>
    <row r="167" spans="1:14" ht="24" customHeight="1">
      <c r="A167" s="6" t="s">
        <v>881</v>
      </c>
      <c r="B167" s="6" t="s">
        <v>27</v>
      </c>
      <c r="C167" s="6" t="s">
        <v>882</v>
      </c>
      <c r="D167" s="6" t="s">
        <v>6</v>
      </c>
      <c r="E167" s="6" t="s">
        <v>6</v>
      </c>
      <c r="F167" s="6" t="s">
        <v>883</v>
      </c>
      <c r="G167" s="6" t="s">
        <v>884</v>
      </c>
      <c r="H167" s="6" t="s">
        <v>885</v>
      </c>
      <c r="I167" s="7"/>
      <c r="J167" s="7"/>
      <c r="K167" s="7"/>
      <c r="L167" s="8"/>
      <c r="M167" s="7"/>
      <c r="N167" s="7"/>
    </row>
    <row r="168" spans="1:14" ht="15" customHeight="1">
      <c r="A168" s="6" t="s">
        <v>886</v>
      </c>
      <c r="B168" s="6" t="s">
        <v>27</v>
      </c>
      <c r="C168" s="6" t="s">
        <v>887</v>
      </c>
      <c r="D168" s="6" t="s">
        <v>6</v>
      </c>
      <c r="E168" s="6" t="s">
        <v>6</v>
      </c>
      <c r="F168" s="6" t="s">
        <v>888</v>
      </c>
      <c r="G168" s="6" t="s">
        <v>889</v>
      </c>
      <c r="H168" s="6" t="s">
        <v>890</v>
      </c>
      <c r="I168" s="7"/>
      <c r="J168" s="7"/>
      <c r="K168" s="7"/>
      <c r="L168" s="8"/>
      <c r="M168" s="7"/>
      <c r="N168" s="7"/>
    </row>
    <row r="169" spans="1:14" ht="24" customHeight="1">
      <c r="A169" s="6" t="s">
        <v>891</v>
      </c>
      <c r="B169" s="6" t="s">
        <v>27</v>
      </c>
      <c r="C169" s="6" t="s">
        <v>892</v>
      </c>
      <c r="D169" s="6" t="s">
        <v>6</v>
      </c>
      <c r="E169" s="6" t="s">
        <v>6</v>
      </c>
      <c r="F169" s="6" t="s">
        <v>893</v>
      </c>
      <c r="G169" s="6" t="s">
        <v>894</v>
      </c>
      <c r="H169" s="6" t="s">
        <v>895</v>
      </c>
      <c r="I169" s="7"/>
      <c r="J169" s="7"/>
      <c r="K169" s="7"/>
      <c r="L169" s="8"/>
      <c r="M169" s="7"/>
      <c r="N169" s="7"/>
    </row>
    <row r="170" spans="1:14" ht="24" customHeight="1">
      <c r="A170" s="6" t="s">
        <v>896</v>
      </c>
      <c r="B170" s="6" t="s">
        <v>27</v>
      </c>
      <c r="C170" s="6" t="s">
        <v>897</v>
      </c>
      <c r="D170" s="6" t="s">
        <v>6</v>
      </c>
      <c r="E170" s="6" t="s">
        <v>6</v>
      </c>
      <c r="F170" s="6" t="s">
        <v>898</v>
      </c>
      <c r="G170" s="6" t="s">
        <v>899</v>
      </c>
      <c r="H170" s="6" t="s">
        <v>900</v>
      </c>
      <c r="I170" s="7"/>
      <c r="J170" s="7"/>
      <c r="K170" s="7"/>
      <c r="L170" s="8"/>
      <c r="M170" s="7"/>
      <c r="N170" s="7"/>
    </row>
    <row r="171" spans="1:14" ht="24" customHeight="1">
      <c r="A171" s="6" t="s">
        <v>901</v>
      </c>
      <c r="B171" s="6" t="s">
        <v>27</v>
      </c>
      <c r="C171" s="6" t="s">
        <v>902</v>
      </c>
      <c r="D171" s="6" t="s">
        <v>6</v>
      </c>
      <c r="E171" s="6" t="s">
        <v>6</v>
      </c>
      <c r="F171" s="6" t="s">
        <v>903</v>
      </c>
      <c r="G171" s="6" t="s">
        <v>904</v>
      </c>
      <c r="H171" s="6" t="s">
        <v>905</v>
      </c>
      <c r="I171" s="7"/>
      <c r="J171" s="7"/>
      <c r="K171" s="7"/>
      <c r="L171" s="8"/>
      <c r="M171" s="7"/>
      <c r="N171" s="7"/>
    </row>
    <row r="172" spans="1:14" ht="24" customHeight="1">
      <c r="A172" s="6" t="s">
        <v>906</v>
      </c>
      <c r="B172" s="6" t="s">
        <v>27</v>
      </c>
      <c r="C172" s="6" t="s">
        <v>907</v>
      </c>
      <c r="D172" s="6" t="s">
        <v>6</v>
      </c>
      <c r="E172" s="6" t="s">
        <v>92</v>
      </c>
      <c r="F172" s="6" t="s">
        <v>908</v>
      </c>
      <c r="G172" s="6" t="s">
        <v>909</v>
      </c>
      <c r="H172" s="6" t="s">
        <v>910</v>
      </c>
      <c r="I172" s="7"/>
      <c r="J172" s="7"/>
      <c r="K172" s="7"/>
      <c r="L172" s="8"/>
      <c r="M172" s="7"/>
      <c r="N172" s="7"/>
    </row>
    <row r="173" spans="1:14" ht="24" customHeight="1">
      <c r="A173" s="6" t="s">
        <v>911</v>
      </c>
      <c r="B173" s="6" t="s">
        <v>27</v>
      </c>
      <c r="C173" s="6" t="s">
        <v>912</v>
      </c>
      <c r="D173" s="6" t="s">
        <v>6</v>
      </c>
      <c r="E173" s="6" t="s">
        <v>109</v>
      </c>
      <c r="F173" s="6" t="s">
        <v>913</v>
      </c>
      <c r="G173" s="6" t="s">
        <v>914</v>
      </c>
      <c r="H173" s="6" t="s">
        <v>915</v>
      </c>
      <c r="I173" s="7"/>
      <c r="J173" s="7"/>
      <c r="K173" s="7"/>
      <c r="L173" s="8"/>
      <c r="M173" s="7"/>
      <c r="N173" s="7"/>
    </row>
    <row r="174" spans="1:14" ht="24" customHeight="1">
      <c r="A174" s="6" t="s">
        <v>916</v>
      </c>
      <c r="B174" s="6" t="s">
        <v>27</v>
      </c>
      <c r="C174" s="6" t="s">
        <v>917</v>
      </c>
      <c r="D174" s="6" t="s">
        <v>6</v>
      </c>
      <c r="E174" s="6" t="s">
        <v>6</v>
      </c>
      <c r="F174" s="6" t="s">
        <v>918</v>
      </c>
      <c r="G174" s="6" t="s">
        <v>919</v>
      </c>
      <c r="H174" s="6" t="s">
        <v>920</v>
      </c>
      <c r="I174" s="7"/>
      <c r="J174" s="7"/>
      <c r="K174" s="7"/>
      <c r="L174" s="8"/>
      <c r="M174" s="7"/>
      <c r="N174" s="7"/>
    </row>
    <row r="175" spans="1:14" ht="24" customHeight="1">
      <c r="A175" s="6" t="s">
        <v>921</v>
      </c>
      <c r="B175" s="6" t="s">
        <v>27</v>
      </c>
      <c r="C175" s="6" t="s">
        <v>922</v>
      </c>
      <c r="D175" s="6" t="s">
        <v>6</v>
      </c>
      <c r="E175" s="6" t="s">
        <v>6</v>
      </c>
      <c r="F175" s="6" t="s">
        <v>923</v>
      </c>
      <c r="G175" s="6" t="s">
        <v>924</v>
      </c>
      <c r="H175" s="6" t="s">
        <v>925</v>
      </c>
      <c r="I175" s="7"/>
      <c r="J175" s="7"/>
      <c r="K175" s="7"/>
      <c r="L175" s="8"/>
      <c r="M175" s="7"/>
      <c r="N175" s="7"/>
    </row>
    <row r="176" spans="1:14" ht="24" customHeight="1">
      <c r="A176" s="6" t="s">
        <v>926</v>
      </c>
      <c r="B176" s="6" t="s">
        <v>27</v>
      </c>
      <c r="C176" s="6" t="s">
        <v>927</v>
      </c>
      <c r="D176" s="6" t="s">
        <v>6</v>
      </c>
      <c r="E176" s="6" t="s">
        <v>109</v>
      </c>
      <c r="F176" s="6" t="s">
        <v>928</v>
      </c>
      <c r="G176" s="6" t="s">
        <v>488</v>
      </c>
      <c r="H176" s="6" t="s">
        <v>929</v>
      </c>
      <c r="I176" s="7"/>
      <c r="J176" s="7"/>
      <c r="K176" s="7"/>
      <c r="L176" s="8"/>
      <c r="M176" s="7"/>
      <c r="N176" s="7"/>
    </row>
    <row r="177" spans="1:14" ht="24" customHeight="1">
      <c r="A177" s="6" t="s">
        <v>930</v>
      </c>
      <c r="B177" s="6" t="s">
        <v>27</v>
      </c>
      <c r="C177" s="6" t="s">
        <v>931</v>
      </c>
      <c r="D177" s="6" t="s">
        <v>6</v>
      </c>
      <c r="E177" s="6" t="s">
        <v>6</v>
      </c>
      <c r="F177" s="6" t="s">
        <v>932</v>
      </c>
      <c r="G177" s="6" t="s">
        <v>933</v>
      </c>
      <c r="H177" s="6" t="s">
        <v>934</v>
      </c>
      <c r="I177" s="7"/>
      <c r="J177" s="7"/>
      <c r="K177" s="7"/>
      <c r="L177" s="8"/>
      <c r="M177" s="7"/>
      <c r="N177" s="7"/>
    </row>
    <row r="178" spans="1:14" ht="24" customHeight="1">
      <c r="A178" s="6" t="s">
        <v>935</v>
      </c>
      <c r="B178" s="6" t="s">
        <v>27</v>
      </c>
      <c r="C178" s="6" t="s">
        <v>936</v>
      </c>
      <c r="D178" s="6" t="s">
        <v>6</v>
      </c>
      <c r="E178" s="6" t="s">
        <v>6</v>
      </c>
      <c r="F178" s="6" t="s">
        <v>937</v>
      </c>
      <c r="G178" s="6" t="s">
        <v>938</v>
      </c>
      <c r="H178" s="6" t="s">
        <v>939</v>
      </c>
      <c r="I178" s="7"/>
      <c r="J178" s="7"/>
      <c r="K178" s="7"/>
      <c r="L178" s="8"/>
      <c r="M178" s="7"/>
      <c r="N178" s="7"/>
    </row>
    <row r="179" spans="1:14" ht="24" customHeight="1">
      <c r="A179" s="6" t="s">
        <v>940</v>
      </c>
      <c r="B179" s="6" t="s">
        <v>27</v>
      </c>
      <c r="C179" s="6" t="s">
        <v>941</v>
      </c>
      <c r="D179" s="6" t="s">
        <v>6</v>
      </c>
      <c r="E179" s="6" t="s">
        <v>6</v>
      </c>
      <c r="F179" s="6" t="s">
        <v>942</v>
      </c>
      <c r="G179" s="6" t="s">
        <v>943</v>
      </c>
      <c r="H179" s="6" t="s">
        <v>944</v>
      </c>
      <c r="I179" s="7"/>
      <c r="J179" s="7"/>
      <c r="K179" s="7"/>
      <c r="L179" s="8"/>
      <c r="M179" s="7"/>
      <c r="N179" s="7"/>
    </row>
    <row r="180" spans="1:14" ht="24" customHeight="1">
      <c r="A180" s="6" t="s">
        <v>945</v>
      </c>
      <c r="B180" s="6" t="s">
        <v>27</v>
      </c>
      <c r="C180" s="6" t="s">
        <v>946</v>
      </c>
      <c r="D180" s="6" t="s">
        <v>6</v>
      </c>
      <c r="E180" s="6" t="s">
        <v>6</v>
      </c>
      <c r="F180" s="6" t="s">
        <v>947</v>
      </c>
      <c r="G180" s="6" t="s">
        <v>948</v>
      </c>
      <c r="H180" s="6" t="s">
        <v>949</v>
      </c>
      <c r="I180" s="7"/>
      <c r="J180" s="7"/>
      <c r="K180" s="7"/>
      <c r="L180" s="8"/>
      <c r="M180" s="7"/>
      <c r="N180" s="7"/>
    </row>
    <row r="181" spans="1:14" ht="24" customHeight="1">
      <c r="A181" s="6" t="s">
        <v>950</v>
      </c>
      <c r="B181" s="6" t="s">
        <v>27</v>
      </c>
      <c r="C181" s="6" t="s">
        <v>951</v>
      </c>
      <c r="D181" s="6" t="s">
        <v>6</v>
      </c>
      <c r="E181" s="6" t="s">
        <v>6</v>
      </c>
      <c r="F181" s="6" t="s">
        <v>952</v>
      </c>
      <c r="G181" s="6" t="s">
        <v>953</v>
      </c>
      <c r="H181" s="6" t="s">
        <v>954</v>
      </c>
      <c r="I181" s="7"/>
      <c r="J181" s="7"/>
      <c r="K181" s="7"/>
      <c r="L181" s="8"/>
      <c r="M181" s="7"/>
      <c r="N181" s="7"/>
    </row>
    <row r="182" spans="1:14" ht="24" customHeight="1">
      <c r="A182" s="6" t="s">
        <v>955</v>
      </c>
      <c r="B182" s="6" t="s">
        <v>27</v>
      </c>
      <c r="C182" s="6" t="s">
        <v>956</v>
      </c>
      <c r="D182" s="6" t="s">
        <v>6</v>
      </c>
      <c r="E182" s="6" t="s">
        <v>6</v>
      </c>
      <c r="F182" s="6" t="s">
        <v>957</v>
      </c>
      <c r="G182" s="6" t="s">
        <v>958</v>
      </c>
      <c r="H182" s="6" t="s">
        <v>959</v>
      </c>
      <c r="I182" s="7"/>
      <c r="J182" s="7"/>
      <c r="K182" s="7"/>
      <c r="L182" s="8"/>
      <c r="M182" s="7"/>
      <c r="N182" s="7"/>
    </row>
    <row r="183" spans="1:14" ht="24" customHeight="1">
      <c r="A183" s="6" t="s">
        <v>960</v>
      </c>
      <c r="B183" s="6" t="s">
        <v>27</v>
      </c>
      <c r="C183" s="6" t="s">
        <v>961</v>
      </c>
      <c r="D183" s="6" t="s">
        <v>6</v>
      </c>
      <c r="E183" s="6" t="s">
        <v>109</v>
      </c>
      <c r="F183" s="6" t="s">
        <v>962</v>
      </c>
      <c r="G183" s="6" t="s">
        <v>963</v>
      </c>
      <c r="H183" s="6" t="s">
        <v>964</v>
      </c>
      <c r="I183" s="7"/>
      <c r="J183" s="7"/>
      <c r="K183" s="7"/>
      <c r="L183" s="8"/>
      <c r="M183" s="7"/>
      <c r="N183" s="7"/>
    </row>
    <row r="184" spans="1:14" ht="24" customHeight="1">
      <c r="A184" s="6" t="s">
        <v>965</v>
      </c>
      <c r="B184" s="6" t="s">
        <v>27</v>
      </c>
      <c r="C184" s="6" t="s">
        <v>966</v>
      </c>
      <c r="D184" s="6" t="s">
        <v>8</v>
      </c>
      <c r="E184" s="6" t="s">
        <v>767</v>
      </c>
      <c r="F184" s="6" t="s">
        <v>967</v>
      </c>
      <c r="G184" s="6" t="s">
        <v>968</v>
      </c>
      <c r="H184" s="6" t="s">
        <v>969</v>
      </c>
      <c r="I184" s="7"/>
      <c r="J184" s="7"/>
      <c r="K184" s="7"/>
      <c r="L184" s="8"/>
      <c r="M184" s="7"/>
      <c r="N184" s="7"/>
    </row>
    <row r="185" spans="1:14" ht="24" customHeight="1">
      <c r="A185" s="6" t="s">
        <v>970</v>
      </c>
      <c r="B185" s="6" t="s">
        <v>27</v>
      </c>
      <c r="C185" s="6" t="s">
        <v>971</v>
      </c>
      <c r="D185" s="6" t="s">
        <v>6</v>
      </c>
      <c r="E185" s="6" t="s">
        <v>6</v>
      </c>
      <c r="F185" s="6" t="s">
        <v>972</v>
      </c>
      <c r="G185" s="6" t="s">
        <v>973</v>
      </c>
      <c r="H185" s="6" t="s">
        <v>974</v>
      </c>
      <c r="I185" s="7"/>
      <c r="J185" s="7"/>
      <c r="K185" s="7"/>
      <c r="L185" s="8"/>
      <c r="M185" s="7"/>
      <c r="N185" s="7"/>
    </row>
    <row r="186" spans="1:14" ht="15" customHeight="1">
      <c r="A186" s="6" t="s">
        <v>975</v>
      </c>
      <c r="B186" s="6" t="s">
        <v>28</v>
      </c>
      <c r="C186" s="6" t="s">
        <v>976</v>
      </c>
      <c r="D186" s="6" t="s">
        <v>6</v>
      </c>
      <c r="E186" s="6" t="s">
        <v>6</v>
      </c>
      <c r="F186" s="6" t="s">
        <v>977</v>
      </c>
      <c r="G186" s="6" t="s">
        <v>978</v>
      </c>
      <c r="H186" s="6" t="s">
        <v>979</v>
      </c>
      <c r="I186" s="7"/>
      <c r="J186" s="7"/>
      <c r="K186" s="7"/>
      <c r="L186" s="8"/>
      <c r="M186" s="7"/>
      <c r="N186" s="7"/>
    </row>
    <row r="187" spans="1:14" ht="24" customHeight="1">
      <c r="A187" s="6" t="s">
        <v>980</v>
      </c>
      <c r="B187" s="6" t="s">
        <v>28</v>
      </c>
      <c r="C187" s="6" t="s">
        <v>981</v>
      </c>
      <c r="D187" s="6" t="s">
        <v>6</v>
      </c>
      <c r="E187" s="6" t="s">
        <v>6</v>
      </c>
      <c r="F187" s="6" t="s">
        <v>982</v>
      </c>
      <c r="G187" s="6" t="s">
        <v>983</v>
      </c>
      <c r="H187" s="6" t="s">
        <v>984</v>
      </c>
      <c r="I187" s="7"/>
      <c r="J187" s="7"/>
      <c r="K187" s="7"/>
      <c r="L187" s="8"/>
      <c r="M187" s="7"/>
      <c r="N187" s="7"/>
    </row>
    <row r="188" spans="1:14" ht="15" customHeight="1">
      <c r="A188" s="6" t="s">
        <v>985</v>
      </c>
      <c r="B188" s="6" t="s">
        <v>28</v>
      </c>
      <c r="C188" s="6" t="s">
        <v>986</v>
      </c>
      <c r="D188" s="6" t="s">
        <v>6</v>
      </c>
      <c r="E188" s="6" t="s">
        <v>6</v>
      </c>
      <c r="F188" s="6" t="s">
        <v>987</v>
      </c>
      <c r="G188" s="6" t="s">
        <v>988</v>
      </c>
      <c r="H188" s="6" t="s">
        <v>989</v>
      </c>
      <c r="I188" s="7"/>
      <c r="J188" s="7"/>
      <c r="K188" s="7"/>
      <c r="L188" s="8"/>
      <c r="M188" s="7"/>
      <c r="N188" s="7"/>
    </row>
    <row r="189" spans="1:14" ht="24" customHeight="1">
      <c r="A189" s="6" t="s">
        <v>990</v>
      </c>
      <c r="B189" s="6" t="s">
        <v>28</v>
      </c>
      <c r="C189" s="6" t="s">
        <v>991</v>
      </c>
      <c r="D189" s="6" t="s">
        <v>6</v>
      </c>
      <c r="E189" s="6" t="s">
        <v>6</v>
      </c>
      <c r="F189" s="6" t="s">
        <v>992</v>
      </c>
      <c r="G189" s="6" t="s">
        <v>993</v>
      </c>
      <c r="H189" s="6" t="s">
        <v>994</v>
      </c>
      <c r="I189" s="7"/>
      <c r="J189" s="7"/>
      <c r="K189" s="7"/>
      <c r="L189" s="8"/>
      <c r="M189" s="7"/>
      <c r="N189" s="7"/>
    </row>
    <row r="190" spans="1:14" ht="24" customHeight="1">
      <c r="A190" s="6" t="s">
        <v>995</v>
      </c>
      <c r="B190" s="6" t="s">
        <v>28</v>
      </c>
      <c r="C190" s="6" t="s">
        <v>996</v>
      </c>
      <c r="D190" s="6" t="s">
        <v>6</v>
      </c>
      <c r="E190" s="6" t="s">
        <v>6</v>
      </c>
      <c r="F190" s="6" t="s">
        <v>997</v>
      </c>
      <c r="G190" s="6" t="s">
        <v>998</v>
      </c>
      <c r="H190" s="6" t="s">
        <v>999</v>
      </c>
      <c r="I190" s="7"/>
      <c r="J190" s="7"/>
      <c r="K190" s="7"/>
      <c r="L190" s="8"/>
      <c r="M190" s="7"/>
      <c r="N190" s="7"/>
    </row>
    <row r="191" spans="1:14" ht="24" customHeight="1">
      <c r="A191" s="6" t="s">
        <v>1000</v>
      </c>
      <c r="B191" s="6" t="s">
        <v>28</v>
      </c>
      <c r="C191" s="6" t="s">
        <v>1001</v>
      </c>
      <c r="D191" s="6" t="s">
        <v>6</v>
      </c>
      <c r="E191" s="6" t="s">
        <v>6</v>
      </c>
      <c r="F191" s="6" t="s">
        <v>1002</v>
      </c>
      <c r="G191" s="6" t="s">
        <v>1003</v>
      </c>
      <c r="H191" s="6" t="s">
        <v>1004</v>
      </c>
      <c r="I191" s="7"/>
      <c r="J191" s="7"/>
      <c r="K191" s="7"/>
      <c r="L191" s="8"/>
      <c r="M191" s="7"/>
      <c r="N191" s="7"/>
    </row>
    <row r="192" spans="1:14" ht="15" customHeight="1">
      <c r="A192" s="6" t="s">
        <v>1005</v>
      </c>
      <c r="B192" s="6" t="s">
        <v>28</v>
      </c>
      <c r="C192" s="6" t="s">
        <v>1006</v>
      </c>
      <c r="D192" s="6" t="s">
        <v>6</v>
      </c>
      <c r="E192" s="6" t="s">
        <v>6</v>
      </c>
      <c r="F192" s="6" t="s">
        <v>1007</v>
      </c>
      <c r="G192" s="6" t="s">
        <v>1008</v>
      </c>
      <c r="H192" s="6" t="s">
        <v>1009</v>
      </c>
      <c r="I192" s="7"/>
      <c r="J192" s="7"/>
      <c r="K192" s="7"/>
      <c r="L192" s="8"/>
      <c r="M192" s="7"/>
      <c r="N192" s="7"/>
    </row>
    <row r="193" spans="1:14" ht="24" customHeight="1">
      <c r="A193" s="6" t="s">
        <v>1010</v>
      </c>
      <c r="B193" s="6" t="s">
        <v>28</v>
      </c>
      <c r="C193" s="6" t="s">
        <v>1011</v>
      </c>
      <c r="D193" s="6" t="s">
        <v>6</v>
      </c>
      <c r="E193" s="6" t="s">
        <v>6</v>
      </c>
      <c r="F193" s="6" t="s">
        <v>1012</v>
      </c>
      <c r="G193" s="6" t="s">
        <v>1013</v>
      </c>
      <c r="H193" s="6" t="s">
        <v>1014</v>
      </c>
      <c r="I193" s="7"/>
      <c r="J193" s="7"/>
      <c r="K193" s="7"/>
      <c r="L193" s="8"/>
      <c r="M193" s="7"/>
      <c r="N193" s="7"/>
    </row>
    <row r="194" spans="1:14" ht="24" customHeight="1">
      <c r="A194" s="6" t="s">
        <v>1015</v>
      </c>
      <c r="B194" s="6" t="s">
        <v>28</v>
      </c>
      <c r="C194" s="6" t="s">
        <v>1016</v>
      </c>
      <c r="D194" s="6" t="s">
        <v>6</v>
      </c>
      <c r="E194" s="6" t="s">
        <v>6</v>
      </c>
      <c r="F194" s="6" t="s">
        <v>1017</v>
      </c>
      <c r="G194" s="6" t="s">
        <v>1018</v>
      </c>
      <c r="H194" s="6" t="s">
        <v>1019</v>
      </c>
      <c r="I194" s="7"/>
      <c r="J194" s="7"/>
      <c r="K194" s="7"/>
      <c r="L194" s="8"/>
      <c r="M194" s="7"/>
      <c r="N194" s="7"/>
    </row>
    <row r="195" spans="1:14" ht="24" customHeight="1">
      <c r="A195" s="6" t="s">
        <v>1020</v>
      </c>
      <c r="B195" s="6" t="s">
        <v>28</v>
      </c>
      <c r="C195" s="6" t="s">
        <v>1021</v>
      </c>
      <c r="D195" s="6" t="s">
        <v>6</v>
      </c>
      <c r="E195" s="6" t="s">
        <v>6</v>
      </c>
      <c r="F195" s="6" t="s">
        <v>1022</v>
      </c>
      <c r="G195" s="6" t="s">
        <v>1023</v>
      </c>
      <c r="H195" s="6" t="s">
        <v>1024</v>
      </c>
      <c r="I195" s="7"/>
      <c r="J195" s="7"/>
      <c r="K195" s="7"/>
      <c r="L195" s="8"/>
      <c r="M195" s="7"/>
      <c r="N195" s="7"/>
    </row>
    <row r="196" spans="1:14" ht="24" customHeight="1">
      <c r="A196" s="6" t="s">
        <v>1025</v>
      </c>
      <c r="B196" s="6" t="s">
        <v>28</v>
      </c>
      <c r="C196" s="6" t="s">
        <v>1026</v>
      </c>
      <c r="D196" s="6" t="s">
        <v>6</v>
      </c>
      <c r="E196" s="6" t="s">
        <v>6</v>
      </c>
      <c r="F196" s="6" t="s">
        <v>1027</v>
      </c>
      <c r="G196" s="6" t="s">
        <v>1028</v>
      </c>
      <c r="H196" s="6" t="s">
        <v>1029</v>
      </c>
      <c r="I196" s="7"/>
      <c r="J196" s="7"/>
      <c r="K196" s="7"/>
      <c r="L196" s="8"/>
      <c r="M196" s="7"/>
      <c r="N196" s="7"/>
    </row>
    <row r="197" spans="1:14" ht="24" customHeight="1">
      <c r="A197" s="6" t="s">
        <v>1030</v>
      </c>
      <c r="B197" s="6" t="s">
        <v>28</v>
      </c>
      <c r="C197" s="6" t="s">
        <v>1031</v>
      </c>
      <c r="D197" s="6" t="s">
        <v>6</v>
      </c>
      <c r="E197" s="6" t="s">
        <v>6</v>
      </c>
      <c r="F197" s="6" t="s">
        <v>1032</v>
      </c>
      <c r="G197" s="6" t="s">
        <v>1033</v>
      </c>
      <c r="H197" s="6" t="s">
        <v>1034</v>
      </c>
      <c r="I197" s="7"/>
      <c r="J197" s="7"/>
      <c r="K197" s="7"/>
      <c r="L197" s="8"/>
      <c r="M197" s="7"/>
      <c r="N197" s="7"/>
    </row>
    <row r="198" spans="1:14" ht="24" customHeight="1">
      <c r="A198" s="6" t="s">
        <v>1035</v>
      </c>
      <c r="B198" s="6" t="s">
        <v>28</v>
      </c>
      <c r="C198" s="6" t="s">
        <v>1036</v>
      </c>
      <c r="D198" s="6" t="s">
        <v>6</v>
      </c>
      <c r="E198" s="6" t="s">
        <v>6</v>
      </c>
      <c r="F198" s="6" t="s">
        <v>1037</v>
      </c>
      <c r="G198" s="6" t="s">
        <v>1038</v>
      </c>
      <c r="H198" s="6" t="s">
        <v>1039</v>
      </c>
      <c r="I198" s="7"/>
      <c r="J198" s="7"/>
      <c r="K198" s="7"/>
      <c r="L198" s="8"/>
      <c r="M198" s="7"/>
      <c r="N198" s="7"/>
    </row>
    <row r="199" spans="1:14" ht="24" customHeight="1">
      <c r="A199" s="6" t="s">
        <v>1040</v>
      </c>
      <c r="B199" s="6" t="s">
        <v>28</v>
      </c>
      <c r="C199" s="6" t="s">
        <v>1041</v>
      </c>
      <c r="D199" s="6" t="s">
        <v>6</v>
      </c>
      <c r="E199" s="6" t="s">
        <v>6</v>
      </c>
      <c r="F199" s="6" t="s">
        <v>1042</v>
      </c>
      <c r="G199" s="6" t="s">
        <v>1043</v>
      </c>
      <c r="H199" s="6" t="s">
        <v>1044</v>
      </c>
      <c r="I199" s="7"/>
      <c r="J199" s="7"/>
      <c r="K199" s="7"/>
      <c r="L199" s="8"/>
      <c r="M199" s="7"/>
      <c r="N199" s="7"/>
    </row>
    <row r="200" spans="1:14" ht="24" customHeight="1">
      <c r="A200" s="6" t="s">
        <v>1045</v>
      </c>
      <c r="B200" s="6" t="s">
        <v>29</v>
      </c>
      <c r="C200" s="6" t="s">
        <v>1046</v>
      </c>
      <c r="D200" s="6" t="s">
        <v>6</v>
      </c>
      <c r="E200" s="6" t="s">
        <v>6</v>
      </c>
      <c r="F200" s="6" t="s">
        <v>1047</v>
      </c>
      <c r="G200" s="6" t="s">
        <v>1048</v>
      </c>
      <c r="H200" s="6" t="s">
        <v>1049</v>
      </c>
      <c r="I200" s="7"/>
      <c r="J200" s="7"/>
      <c r="K200" s="7"/>
      <c r="L200" s="8"/>
      <c r="M200" s="7"/>
      <c r="N200" s="7"/>
    </row>
    <row r="201" spans="1:14" ht="24" customHeight="1">
      <c r="A201" s="6" t="s">
        <v>1050</v>
      </c>
      <c r="B201" s="6" t="s">
        <v>29</v>
      </c>
      <c r="C201" s="6" t="s">
        <v>1051</v>
      </c>
      <c r="D201" s="6" t="s">
        <v>6</v>
      </c>
      <c r="E201" s="6" t="s">
        <v>6</v>
      </c>
      <c r="F201" s="6" t="s">
        <v>1052</v>
      </c>
      <c r="G201" s="6" t="s">
        <v>1053</v>
      </c>
      <c r="H201" s="6" t="s">
        <v>1054</v>
      </c>
      <c r="I201" s="7"/>
      <c r="J201" s="7"/>
      <c r="K201" s="7"/>
      <c r="L201" s="8"/>
      <c r="M201" s="7"/>
      <c r="N201" s="7"/>
    </row>
    <row r="202" spans="1:14" ht="24" customHeight="1">
      <c r="A202" s="6" t="s">
        <v>1055</v>
      </c>
      <c r="B202" s="6" t="s">
        <v>29</v>
      </c>
      <c r="C202" s="6" t="s">
        <v>1056</v>
      </c>
      <c r="D202" s="6" t="s">
        <v>6</v>
      </c>
      <c r="E202" s="6" t="s">
        <v>6</v>
      </c>
      <c r="F202" s="6" t="s">
        <v>1057</v>
      </c>
      <c r="G202" s="6" t="s">
        <v>1058</v>
      </c>
      <c r="H202" s="6" t="s">
        <v>1059</v>
      </c>
      <c r="I202" s="7"/>
      <c r="J202" s="7"/>
      <c r="K202" s="7"/>
      <c r="L202" s="8"/>
      <c r="M202" s="7"/>
      <c r="N202" s="7"/>
    </row>
    <row r="203" spans="1:14" ht="24" customHeight="1">
      <c r="A203" s="6" t="s">
        <v>1060</v>
      </c>
      <c r="B203" s="6" t="s">
        <v>29</v>
      </c>
      <c r="C203" s="6" t="s">
        <v>1061</v>
      </c>
      <c r="D203" s="6" t="s">
        <v>6</v>
      </c>
      <c r="E203" s="6" t="s">
        <v>6</v>
      </c>
      <c r="F203" s="6" t="s">
        <v>1062</v>
      </c>
      <c r="G203" s="6" t="s">
        <v>1063</v>
      </c>
      <c r="H203" s="6" t="s">
        <v>1064</v>
      </c>
      <c r="I203" s="7"/>
      <c r="J203" s="7"/>
      <c r="K203" s="7"/>
      <c r="L203" s="8"/>
      <c r="M203" s="7"/>
      <c r="N203" s="7"/>
    </row>
    <row r="204" spans="1:14" ht="24" customHeight="1">
      <c r="A204" s="6" t="s">
        <v>1065</v>
      </c>
      <c r="B204" s="6" t="s">
        <v>29</v>
      </c>
      <c r="C204" s="6" t="s">
        <v>1066</v>
      </c>
      <c r="D204" s="6" t="s">
        <v>6</v>
      </c>
      <c r="E204" s="6" t="s">
        <v>6</v>
      </c>
      <c r="F204" s="6" t="s">
        <v>1067</v>
      </c>
      <c r="G204" s="6" t="s">
        <v>1068</v>
      </c>
      <c r="H204" s="6" t="s">
        <v>1069</v>
      </c>
      <c r="I204" s="7"/>
      <c r="J204" s="7"/>
      <c r="K204" s="7"/>
      <c r="L204" s="8"/>
      <c r="M204" s="7"/>
      <c r="N204" s="7"/>
    </row>
    <row r="205" spans="1:14" ht="24" customHeight="1">
      <c r="A205" s="6" t="s">
        <v>1070</v>
      </c>
      <c r="B205" s="6" t="s">
        <v>29</v>
      </c>
      <c r="C205" s="6" t="s">
        <v>1071</v>
      </c>
      <c r="D205" s="6" t="s">
        <v>6</v>
      </c>
      <c r="E205" s="6" t="s">
        <v>6</v>
      </c>
      <c r="F205" s="6" t="s">
        <v>1072</v>
      </c>
      <c r="G205" s="6" t="s">
        <v>1073</v>
      </c>
      <c r="H205" s="6" t="s">
        <v>1074</v>
      </c>
      <c r="I205" s="7"/>
      <c r="J205" s="7"/>
      <c r="K205" s="7"/>
      <c r="L205" s="8"/>
      <c r="M205" s="7"/>
      <c r="N205" s="7"/>
    </row>
    <row r="206" spans="1:14" ht="24" customHeight="1">
      <c r="A206" s="6" t="s">
        <v>1075</v>
      </c>
      <c r="B206" s="6" t="s">
        <v>29</v>
      </c>
      <c r="C206" s="6" t="s">
        <v>1076</v>
      </c>
      <c r="D206" s="6" t="s">
        <v>6</v>
      </c>
      <c r="E206" s="6" t="s">
        <v>6</v>
      </c>
      <c r="F206" s="6" t="s">
        <v>1077</v>
      </c>
      <c r="G206" s="6" t="s">
        <v>1078</v>
      </c>
      <c r="H206" s="6" t="s">
        <v>1079</v>
      </c>
      <c r="I206" s="7"/>
      <c r="J206" s="7"/>
      <c r="K206" s="7"/>
      <c r="L206" s="8"/>
      <c r="M206" s="7"/>
      <c r="N206" s="7"/>
    </row>
    <row r="207" spans="1:14" ht="24" customHeight="1">
      <c r="A207" s="6" t="s">
        <v>1080</v>
      </c>
      <c r="B207" s="6" t="s">
        <v>29</v>
      </c>
      <c r="C207" s="6" t="s">
        <v>1081</v>
      </c>
      <c r="D207" s="6" t="s">
        <v>6</v>
      </c>
      <c r="E207" s="6" t="s">
        <v>6</v>
      </c>
      <c r="F207" s="6" t="s">
        <v>1082</v>
      </c>
      <c r="G207" s="6" t="s">
        <v>1083</v>
      </c>
      <c r="H207" s="6" t="s">
        <v>1084</v>
      </c>
      <c r="I207" s="7"/>
      <c r="J207" s="7"/>
      <c r="K207" s="7"/>
      <c r="L207" s="8"/>
      <c r="M207" s="7"/>
      <c r="N207" s="7"/>
    </row>
    <row r="208" spans="1:14" ht="15" customHeight="1">
      <c r="A208" s="6" t="s">
        <v>1085</v>
      </c>
      <c r="B208" s="6" t="s">
        <v>29</v>
      </c>
      <c r="C208" s="6" t="s">
        <v>1086</v>
      </c>
      <c r="D208" s="6" t="s">
        <v>6</v>
      </c>
      <c r="E208" s="6" t="s">
        <v>6</v>
      </c>
      <c r="F208" s="6" t="s">
        <v>1087</v>
      </c>
      <c r="G208" s="6" t="s">
        <v>1088</v>
      </c>
      <c r="H208" s="6" t="s">
        <v>1089</v>
      </c>
      <c r="I208" s="7"/>
      <c r="J208" s="7"/>
      <c r="K208" s="7"/>
      <c r="L208" s="8"/>
      <c r="M208" s="7"/>
      <c r="N208" s="7"/>
    </row>
    <row r="209" spans="1:14" ht="24" customHeight="1">
      <c r="A209" s="6" t="s">
        <v>1090</v>
      </c>
      <c r="B209" s="6" t="s">
        <v>29</v>
      </c>
      <c r="C209" s="6" t="s">
        <v>1091</v>
      </c>
      <c r="D209" s="6" t="s">
        <v>6</v>
      </c>
      <c r="E209" s="6" t="s">
        <v>6</v>
      </c>
      <c r="F209" s="6" t="s">
        <v>1092</v>
      </c>
      <c r="G209" s="6" t="s">
        <v>1093</v>
      </c>
      <c r="H209" s="6" t="s">
        <v>1094</v>
      </c>
      <c r="I209" s="7"/>
      <c r="J209" s="7"/>
      <c r="K209" s="7"/>
      <c r="L209" s="8"/>
      <c r="M209" s="7"/>
      <c r="N209" s="7"/>
    </row>
    <row r="210" spans="1:14" ht="24" customHeight="1">
      <c r="A210" s="6" t="s">
        <v>1095</v>
      </c>
      <c r="B210" s="6" t="s">
        <v>29</v>
      </c>
      <c r="C210" s="6" t="s">
        <v>1096</v>
      </c>
      <c r="D210" s="6" t="s">
        <v>6</v>
      </c>
      <c r="E210" s="6" t="s">
        <v>174</v>
      </c>
      <c r="F210" s="6" t="s">
        <v>1097</v>
      </c>
      <c r="G210" s="6" t="s">
        <v>1098</v>
      </c>
      <c r="H210" s="6" t="s">
        <v>1099</v>
      </c>
      <c r="I210" s="7"/>
      <c r="J210" s="7"/>
      <c r="K210" s="7"/>
      <c r="L210" s="8"/>
      <c r="M210" s="7"/>
      <c r="N210" s="7"/>
    </row>
    <row r="211" spans="1:14" ht="24" customHeight="1">
      <c r="A211" s="6" t="s">
        <v>1100</v>
      </c>
      <c r="B211" s="6" t="s">
        <v>29</v>
      </c>
      <c r="C211" s="6" t="s">
        <v>1101</v>
      </c>
      <c r="D211" s="6" t="s">
        <v>6</v>
      </c>
      <c r="E211" s="6" t="s">
        <v>6</v>
      </c>
      <c r="F211" s="6" t="s">
        <v>1102</v>
      </c>
      <c r="G211" s="6" t="s">
        <v>1103</v>
      </c>
      <c r="H211" s="6" t="s">
        <v>1104</v>
      </c>
      <c r="I211" s="7"/>
      <c r="J211" s="7"/>
      <c r="K211" s="7"/>
      <c r="L211" s="8"/>
      <c r="M211" s="7"/>
      <c r="N211" s="7"/>
    </row>
    <row r="212" spans="1:14" ht="24" customHeight="1">
      <c r="A212" s="6" t="s">
        <v>1105</v>
      </c>
      <c r="B212" s="6" t="s">
        <v>30</v>
      </c>
      <c r="C212" s="6" t="s">
        <v>1106</v>
      </c>
      <c r="D212" s="6" t="s">
        <v>6</v>
      </c>
      <c r="E212" s="6" t="s">
        <v>6</v>
      </c>
      <c r="F212" s="6" t="s">
        <v>1107</v>
      </c>
      <c r="G212" s="6" t="s">
        <v>1108</v>
      </c>
      <c r="H212" s="6" t="s">
        <v>1109</v>
      </c>
      <c r="I212" s="7"/>
      <c r="J212" s="7"/>
      <c r="K212" s="7"/>
      <c r="L212" s="8"/>
      <c r="M212" s="7"/>
      <c r="N212" s="7"/>
    </row>
    <row r="213" spans="1:14" ht="24" customHeight="1">
      <c r="A213" s="6" t="s">
        <v>1110</v>
      </c>
      <c r="B213" s="6" t="s">
        <v>30</v>
      </c>
      <c r="C213" s="6" t="s">
        <v>1111</v>
      </c>
      <c r="D213" s="6" t="s">
        <v>6</v>
      </c>
      <c r="E213" s="6" t="s">
        <v>6</v>
      </c>
      <c r="F213" s="6" t="s">
        <v>1112</v>
      </c>
      <c r="G213" s="6" t="s">
        <v>1113</v>
      </c>
      <c r="H213" s="6" t="s">
        <v>1114</v>
      </c>
      <c r="I213" s="7"/>
      <c r="J213" s="7"/>
      <c r="K213" s="7"/>
      <c r="L213" s="8"/>
      <c r="M213" s="7"/>
      <c r="N213" s="7"/>
    </row>
    <row r="214" spans="1:14" ht="24" customHeight="1">
      <c r="A214" s="6" t="s">
        <v>1115</v>
      </c>
      <c r="B214" s="6" t="s">
        <v>30</v>
      </c>
      <c r="C214" s="6" t="s">
        <v>1116</v>
      </c>
      <c r="D214" s="6" t="s">
        <v>6</v>
      </c>
      <c r="E214" s="6" t="s">
        <v>6</v>
      </c>
      <c r="F214" s="6" t="s">
        <v>1117</v>
      </c>
      <c r="G214" s="6" t="s">
        <v>1118</v>
      </c>
      <c r="H214" s="6" t="s">
        <v>1119</v>
      </c>
      <c r="I214" s="7"/>
      <c r="J214" s="7"/>
      <c r="K214" s="7"/>
      <c r="L214" s="8"/>
      <c r="M214" s="7"/>
      <c r="N214" s="7"/>
    </row>
    <row r="215" spans="1:14" ht="24" customHeight="1">
      <c r="A215" s="6" t="s">
        <v>1120</v>
      </c>
      <c r="B215" s="6" t="s">
        <v>30</v>
      </c>
      <c r="C215" s="6" t="s">
        <v>1121</v>
      </c>
      <c r="D215" s="6" t="s">
        <v>6</v>
      </c>
      <c r="E215" s="6" t="s">
        <v>6</v>
      </c>
      <c r="F215" s="6" t="s">
        <v>1122</v>
      </c>
      <c r="G215" s="6" t="s">
        <v>1123</v>
      </c>
      <c r="H215" s="6" t="s">
        <v>1124</v>
      </c>
      <c r="I215" s="7"/>
      <c r="J215" s="7"/>
      <c r="K215" s="7"/>
      <c r="L215" s="8"/>
      <c r="M215" s="7"/>
      <c r="N215" s="7"/>
    </row>
    <row r="216" spans="1:14" ht="24" customHeight="1">
      <c r="A216" s="6" t="s">
        <v>1125</v>
      </c>
      <c r="B216" s="6" t="s">
        <v>30</v>
      </c>
      <c r="C216" s="6" t="s">
        <v>1126</v>
      </c>
      <c r="D216" s="6" t="s">
        <v>6</v>
      </c>
      <c r="E216" s="6" t="s">
        <v>6</v>
      </c>
      <c r="F216" s="6" t="s">
        <v>1127</v>
      </c>
      <c r="G216" s="6" t="s">
        <v>1128</v>
      </c>
      <c r="H216" s="6" t="s">
        <v>1129</v>
      </c>
      <c r="I216" s="7"/>
      <c r="J216" s="7"/>
      <c r="K216" s="7"/>
      <c r="L216" s="8"/>
      <c r="M216" s="7"/>
      <c r="N216" s="7"/>
    </row>
    <row r="217" spans="1:14" ht="24" customHeight="1">
      <c r="A217" s="6" t="s">
        <v>1130</v>
      </c>
      <c r="B217" s="6" t="s">
        <v>30</v>
      </c>
      <c r="C217" s="6" t="s">
        <v>1131</v>
      </c>
      <c r="D217" s="6" t="s">
        <v>6</v>
      </c>
      <c r="E217" s="6" t="s">
        <v>6</v>
      </c>
      <c r="F217" s="6" t="s">
        <v>1132</v>
      </c>
      <c r="G217" s="6" t="s">
        <v>1133</v>
      </c>
      <c r="H217" s="6" t="s">
        <v>1134</v>
      </c>
      <c r="I217" s="7"/>
      <c r="J217" s="7"/>
      <c r="K217" s="7"/>
      <c r="L217" s="8"/>
      <c r="M217" s="7"/>
      <c r="N217" s="7"/>
    </row>
    <row r="218" spans="1:14" ht="24" customHeight="1">
      <c r="A218" s="6" t="s">
        <v>1135</v>
      </c>
      <c r="B218" s="6" t="s">
        <v>30</v>
      </c>
      <c r="C218" s="6" t="s">
        <v>1136</v>
      </c>
      <c r="D218" s="6" t="s">
        <v>6</v>
      </c>
      <c r="E218" s="6" t="s">
        <v>6</v>
      </c>
      <c r="F218" s="6" t="s">
        <v>1137</v>
      </c>
      <c r="G218" s="6" t="s">
        <v>1138</v>
      </c>
      <c r="H218" s="6" t="s">
        <v>1139</v>
      </c>
      <c r="I218" s="7"/>
      <c r="J218" s="7"/>
      <c r="K218" s="7"/>
      <c r="L218" s="8"/>
      <c r="M218" s="7"/>
      <c r="N218" s="7"/>
    </row>
    <row r="219" spans="1:14" ht="15" customHeight="1">
      <c r="A219" s="6" t="s">
        <v>1140</v>
      </c>
      <c r="B219" s="6" t="s">
        <v>30</v>
      </c>
      <c r="C219" s="6" t="s">
        <v>1141</v>
      </c>
      <c r="D219" s="6" t="s">
        <v>6</v>
      </c>
      <c r="E219" s="6" t="s">
        <v>6</v>
      </c>
      <c r="F219" s="6" t="s">
        <v>1142</v>
      </c>
      <c r="G219" s="6" t="s">
        <v>1143</v>
      </c>
      <c r="H219" s="6" t="s">
        <v>1144</v>
      </c>
      <c r="I219" s="7"/>
      <c r="J219" s="7"/>
      <c r="K219" s="7"/>
      <c r="L219" s="8"/>
      <c r="M219" s="7"/>
      <c r="N219" s="7"/>
    </row>
    <row r="220" spans="1:14" ht="24" customHeight="1">
      <c r="A220" s="6" t="s">
        <v>1145</v>
      </c>
      <c r="B220" s="6" t="s">
        <v>30</v>
      </c>
      <c r="C220" s="6" t="s">
        <v>1146</v>
      </c>
      <c r="D220" s="6" t="s">
        <v>6</v>
      </c>
      <c r="E220" s="6" t="s">
        <v>6</v>
      </c>
      <c r="F220" s="6" t="s">
        <v>1147</v>
      </c>
      <c r="G220" s="6" t="s">
        <v>1148</v>
      </c>
      <c r="H220" s="6" t="s">
        <v>1149</v>
      </c>
      <c r="I220" s="7"/>
      <c r="J220" s="7"/>
      <c r="K220" s="7"/>
      <c r="L220" s="8"/>
      <c r="M220" s="7"/>
      <c r="N220" s="7"/>
    </row>
    <row r="221" spans="1:14" ht="24" customHeight="1">
      <c r="A221" s="6" t="s">
        <v>1150</v>
      </c>
      <c r="B221" s="6" t="s">
        <v>30</v>
      </c>
      <c r="C221" s="6" t="s">
        <v>1151</v>
      </c>
      <c r="D221" s="6" t="s">
        <v>6</v>
      </c>
      <c r="E221" s="6" t="s">
        <v>6</v>
      </c>
      <c r="F221" s="6" t="s">
        <v>1152</v>
      </c>
      <c r="G221" s="6" t="s">
        <v>1153</v>
      </c>
      <c r="H221" s="6" t="s">
        <v>1154</v>
      </c>
      <c r="I221" s="7"/>
      <c r="J221" s="7"/>
      <c r="K221" s="7"/>
      <c r="L221" s="8"/>
      <c r="M221" s="7"/>
      <c r="N221" s="7"/>
    </row>
    <row r="222" spans="1:14" ht="24" customHeight="1">
      <c r="A222" s="6" t="s">
        <v>1155</v>
      </c>
      <c r="B222" s="6" t="s">
        <v>30</v>
      </c>
      <c r="C222" s="6" t="s">
        <v>1156</v>
      </c>
      <c r="D222" s="6" t="s">
        <v>6</v>
      </c>
      <c r="E222" s="6" t="s">
        <v>6</v>
      </c>
      <c r="F222" s="6" t="s">
        <v>1157</v>
      </c>
      <c r="G222" s="6" t="s">
        <v>1158</v>
      </c>
      <c r="H222" s="6" t="s">
        <v>1159</v>
      </c>
      <c r="I222" s="7"/>
      <c r="J222" s="7"/>
      <c r="K222" s="7"/>
      <c r="L222" s="8"/>
      <c r="M222" s="7"/>
      <c r="N222" s="7"/>
    </row>
    <row r="223" spans="1:14" ht="24" customHeight="1">
      <c r="A223" s="6" t="s">
        <v>1160</v>
      </c>
      <c r="B223" s="6" t="s">
        <v>30</v>
      </c>
      <c r="C223" s="6" t="s">
        <v>1161</v>
      </c>
      <c r="D223" s="6" t="s">
        <v>6</v>
      </c>
      <c r="E223" s="6" t="s">
        <v>6</v>
      </c>
      <c r="F223" s="6" t="s">
        <v>1162</v>
      </c>
      <c r="G223" s="6" t="s">
        <v>1163</v>
      </c>
      <c r="H223" s="6" t="s">
        <v>1164</v>
      </c>
      <c r="I223" s="7"/>
      <c r="J223" s="7"/>
      <c r="K223" s="7"/>
      <c r="L223" s="8"/>
      <c r="M223" s="7"/>
      <c r="N223" s="7"/>
    </row>
    <row r="224" spans="1:14" ht="15" customHeight="1">
      <c r="A224" s="6" t="s">
        <v>1165</v>
      </c>
      <c r="B224" s="6" t="s">
        <v>30</v>
      </c>
      <c r="C224" s="6" t="s">
        <v>1166</v>
      </c>
      <c r="D224" s="6" t="s">
        <v>6</v>
      </c>
      <c r="E224" s="6" t="s">
        <v>6</v>
      </c>
      <c r="F224" s="6" t="s">
        <v>1167</v>
      </c>
      <c r="G224" s="6" t="s">
        <v>1168</v>
      </c>
      <c r="H224" s="6" t="s">
        <v>1169</v>
      </c>
      <c r="I224" s="7"/>
      <c r="J224" s="7"/>
      <c r="K224" s="7"/>
      <c r="L224" s="8"/>
      <c r="M224" s="7"/>
      <c r="N224" s="7"/>
    </row>
    <row r="225" spans="1:14" ht="24" customHeight="1">
      <c r="A225" s="6" t="s">
        <v>1170</v>
      </c>
      <c r="B225" s="6" t="s">
        <v>30</v>
      </c>
      <c r="C225" s="6" t="s">
        <v>1171</v>
      </c>
      <c r="D225" s="6" t="s">
        <v>6</v>
      </c>
      <c r="E225" s="6" t="s">
        <v>6</v>
      </c>
      <c r="F225" s="6" t="s">
        <v>1172</v>
      </c>
      <c r="G225" s="6" t="s">
        <v>1173</v>
      </c>
      <c r="H225" s="6" t="s">
        <v>1174</v>
      </c>
      <c r="I225" s="7"/>
      <c r="J225" s="7"/>
      <c r="K225" s="7"/>
      <c r="L225" s="8"/>
      <c r="M225" s="7"/>
      <c r="N225" s="7"/>
    </row>
    <row r="226" spans="1:14" ht="24" customHeight="1">
      <c r="A226" s="6" t="s">
        <v>1175</v>
      </c>
      <c r="B226" s="6" t="s">
        <v>30</v>
      </c>
      <c r="C226" s="6" t="s">
        <v>1176</v>
      </c>
      <c r="D226" s="6" t="s">
        <v>6</v>
      </c>
      <c r="E226" s="6" t="s">
        <v>6</v>
      </c>
      <c r="F226" s="6" t="s">
        <v>1177</v>
      </c>
      <c r="G226" s="6" t="s">
        <v>1178</v>
      </c>
      <c r="H226" s="6" t="s">
        <v>1179</v>
      </c>
      <c r="I226" s="7"/>
      <c r="J226" s="7"/>
      <c r="K226" s="7"/>
      <c r="L226" s="8"/>
      <c r="M226" s="7"/>
      <c r="N226" s="7"/>
    </row>
    <row r="227" spans="1:14" ht="24" customHeight="1">
      <c r="A227" s="6" t="s">
        <v>1180</v>
      </c>
      <c r="B227" s="6" t="s">
        <v>30</v>
      </c>
      <c r="C227" s="6" t="s">
        <v>1181</v>
      </c>
      <c r="D227" s="6" t="s">
        <v>8</v>
      </c>
      <c r="E227" s="6" t="s">
        <v>98</v>
      </c>
      <c r="F227" s="6" t="s">
        <v>1182</v>
      </c>
      <c r="G227" s="6" t="s">
        <v>1183</v>
      </c>
      <c r="H227" s="6" t="s">
        <v>1184</v>
      </c>
      <c r="I227" s="7"/>
      <c r="J227" s="7"/>
      <c r="K227" s="7"/>
      <c r="L227" s="8"/>
      <c r="M227" s="7"/>
      <c r="N227" s="7"/>
    </row>
    <row r="228" spans="1:14" ht="24" customHeight="1">
      <c r="A228" s="6" t="s">
        <v>1185</v>
      </c>
      <c r="B228" s="6" t="s">
        <v>30</v>
      </c>
      <c r="C228" s="6" t="s">
        <v>1186</v>
      </c>
      <c r="D228" s="6" t="s">
        <v>8</v>
      </c>
      <c r="E228" s="6" t="s">
        <v>98</v>
      </c>
      <c r="F228" s="6" t="s">
        <v>1187</v>
      </c>
      <c r="G228" s="6" t="s">
        <v>1188</v>
      </c>
      <c r="H228" s="6" t="s">
        <v>1189</v>
      </c>
      <c r="I228" s="7"/>
      <c r="J228" s="7"/>
      <c r="K228" s="7"/>
      <c r="L228" s="8"/>
      <c r="M228" s="7"/>
      <c r="N228" s="7"/>
    </row>
    <row r="229" spans="1:14" ht="24" customHeight="1">
      <c r="A229" s="6" t="s">
        <v>1190</v>
      </c>
      <c r="B229" s="6" t="s">
        <v>30</v>
      </c>
      <c r="C229" s="6" t="s">
        <v>1191</v>
      </c>
      <c r="D229" s="6" t="s">
        <v>8</v>
      </c>
      <c r="E229" s="6" t="s">
        <v>86</v>
      </c>
      <c r="F229" s="6" t="s">
        <v>1192</v>
      </c>
      <c r="G229" s="6" t="s">
        <v>1193</v>
      </c>
      <c r="H229" s="6" t="s">
        <v>1194</v>
      </c>
      <c r="I229" s="7"/>
      <c r="J229" s="7"/>
      <c r="K229" s="7"/>
      <c r="L229" s="8"/>
      <c r="M229" s="7"/>
      <c r="N229" s="7"/>
    </row>
    <row r="230" spans="1:14" ht="24" customHeight="1">
      <c r="A230" s="6" t="s">
        <v>1195</v>
      </c>
      <c r="B230" s="6" t="s">
        <v>31</v>
      </c>
      <c r="C230" s="6" t="s">
        <v>1196</v>
      </c>
      <c r="D230" s="6" t="s">
        <v>8</v>
      </c>
      <c r="E230" s="6" t="s">
        <v>98</v>
      </c>
      <c r="F230" s="6" t="s">
        <v>1197</v>
      </c>
      <c r="G230" s="6" t="s">
        <v>1198</v>
      </c>
      <c r="H230" s="6" t="s">
        <v>1199</v>
      </c>
      <c r="I230" s="7"/>
      <c r="J230" s="7"/>
      <c r="K230" s="7"/>
      <c r="L230" s="8"/>
      <c r="M230" s="7"/>
      <c r="N230" s="7"/>
    </row>
    <row r="231" spans="1:14" ht="24" customHeight="1">
      <c r="A231" s="6" t="s">
        <v>1200</v>
      </c>
      <c r="B231" s="6" t="s">
        <v>31</v>
      </c>
      <c r="C231" s="6" t="s">
        <v>1201</v>
      </c>
      <c r="D231" s="6" t="s">
        <v>8</v>
      </c>
      <c r="E231" s="6" t="s">
        <v>98</v>
      </c>
      <c r="F231" s="6" t="s">
        <v>1202</v>
      </c>
      <c r="G231" s="6" t="s">
        <v>1203</v>
      </c>
      <c r="H231" s="6" t="s">
        <v>1204</v>
      </c>
      <c r="I231" s="7"/>
      <c r="J231" s="7"/>
      <c r="K231" s="7"/>
      <c r="L231" s="8"/>
      <c r="M231" s="7"/>
      <c r="N231" s="7"/>
    </row>
    <row r="232" spans="1:14" ht="24" customHeight="1">
      <c r="A232" s="6" t="s">
        <v>1205</v>
      </c>
      <c r="B232" s="6" t="s">
        <v>31</v>
      </c>
      <c r="C232" s="6" t="s">
        <v>1206</v>
      </c>
      <c r="D232" s="6" t="s">
        <v>8</v>
      </c>
      <c r="E232" s="6" t="s">
        <v>98</v>
      </c>
      <c r="F232" s="6" t="s">
        <v>1207</v>
      </c>
      <c r="G232" s="6" t="s">
        <v>1208</v>
      </c>
      <c r="H232" s="6" t="s">
        <v>1209</v>
      </c>
      <c r="I232" s="7"/>
      <c r="J232" s="7"/>
      <c r="K232" s="7"/>
      <c r="L232" s="8"/>
      <c r="M232" s="7"/>
      <c r="N232" s="7"/>
    </row>
    <row r="233" spans="1:14" ht="24" customHeight="1">
      <c r="A233" s="6" t="s">
        <v>1210</v>
      </c>
      <c r="B233" s="6" t="s">
        <v>31</v>
      </c>
      <c r="C233" s="6" t="s">
        <v>1211</v>
      </c>
      <c r="D233" s="6" t="s">
        <v>8</v>
      </c>
      <c r="E233" s="6" t="s">
        <v>98</v>
      </c>
      <c r="F233" s="6" t="s">
        <v>1212</v>
      </c>
      <c r="G233" s="6" t="s">
        <v>1213</v>
      </c>
      <c r="H233" s="6" t="s">
        <v>1214</v>
      </c>
      <c r="I233" s="7"/>
      <c r="J233" s="7"/>
      <c r="K233" s="7"/>
      <c r="L233" s="8"/>
      <c r="M233" s="7"/>
      <c r="N233" s="7"/>
    </row>
    <row r="234" spans="1:14" ht="24" customHeight="1">
      <c r="A234" s="6" t="s">
        <v>1215</v>
      </c>
      <c r="B234" s="6" t="s">
        <v>31</v>
      </c>
      <c r="C234" s="6" t="s">
        <v>1216</v>
      </c>
      <c r="D234" s="6" t="s">
        <v>8</v>
      </c>
      <c r="E234" s="6" t="s">
        <v>98</v>
      </c>
      <c r="F234" s="6" t="s">
        <v>1217</v>
      </c>
      <c r="G234" s="6" t="s">
        <v>1218</v>
      </c>
      <c r="H234" s="6" t="s">
        <v>1219</v>
      </c>
      <c r="I234" s="7"/>
      <c r="J234" s="7"/>
      <c r="K234" s="7"/>
      <c r="L234" s="8"/>
      <c r="M234" s="7"/>
      <c r="N234" s="7"/>
    </row>
    <row r="235" spans="1:14" ht="24" customHeight="1">
      <c r="A235" s="6" t="s">
        <v>1220</v>
      </c>
      <c r="B235" s="6" t="s">
        <v>31</v>
      </c>
      <c r="C235" s="6" t="s">
        <v>1221</v>
      </c>
      <c r="D235" s="6" t="s">
        <v>8</v>
      </c>
      <c r="E235" s="6" t="s">
        <v>98</v>
      </c>
      <c r="F235" s="6" t="s">
        <v>1222</v>
      </c>
      <c r="G235" s="6" t="s">
        <v>1223</v>
      </c>
      <c r="H235" s="6" t="s">
        <v>1224</v>
      </c>
      <c r="I235" s="7"/>
      <c r="J235" s="7"/>
      <c r="K235" s="7"/>
      <c r="L235" s="8"/>
      <c r="M235" s="7"/>
      <c r="N235" s="7"/>
    </row>
    <row r="236" spans="1:14" ht="24" customHeight="1">
      <c r="A236" s="6" t="s">
        <v>1225</v>
      </c>
      <c r="B236" s="6" t="s">
        <v>31</v>
      </c>
      <c r="C236" s="6" t="s">
        <v>1226</v>
      </c>
      <c r="D236" s="6" t="s">
        <v>8</v>
      </c>
      <c r="E236" s="6" t="s">
        <v>98</v>
      </c>
      <c r="F236" s="6" t="s">
        <v>1227</v>
      </c>
      <c r="G236" s="6" t="s">
        <v>1228</v>
      </c>
      <c r="H236" s="6" t="s">
        <v>1229</v>
      </c>
      <c r="I236" s="7"/>
      <c r="J236" s="7"/>
      <c r="K236" s="7"/>
      <c r="L236" s="8"/>
      <c r="M236" s="7"/>
      <c r="N236" s="7"/>
    </row>
    <row r="237" spans="1:14" ht="15" customHeight="1">
      <c r="A237" s="6" t="s">
        <v>1230</v>
      </c>
      <c r="B237" s="6" t="s">
        <v>31</v>
      </c>
      <c r="C237" s="6" t="s">
        <v>1231</v>
      </c>
      <c r="D237" s="6" t="s">
        <v>8</v>
      </c>
      <c r="E237" s="6" t="s">
        <v>98</v>
      </c>
      <c r="F237" s="6" t="s">
        <v>1232</v>
      </c>
      <c r="G237" s="6" t="s">
        <v>1233</v>
      </c>
      <c r="H237" s="6" t="s">
        <v>1234</v>
      </c>
      <c r="I237" s="7"/>
      <c r="J237" s="7"/>
      <c r="K237" s="7"/>
      <c r="L237" s="8"/>
      <c r="M237" s="7"/>
      <c r="N237" s="7"/>
    </row>
    <row r="238" spans="1:14" ht="24" customHeight="1">
      <c r="A238" s="6" t="s">
        <v>1235</v>
      </c>
      <c r="B238" s="6" t="s">
        <v>31</v>
      </c>
      <c r="C238" s="6" t="s">
        <v>1236</v>
      </c>
      <c r="D238" s="6" t="s">
        <v>8</v>
      </c>
      <c r="E238" s="6" t="s">
        <v>98</v>
      </c>
      <c r="F238" s="6" t="s">
        <v>1237</v>
      </c>
      <c r="G238" s="6" t="s">
        <v>1238</v>
      </c>
      <c r="H238" s="6" t="s">
        <v>1239</v>
      </c>
      <c r="I238" s="7"/>
      <c r="J238" s="7"/>
      <c r="K238" s="7"/>
      <c r="L238" s="8"/>
      <c r="M238" s="7"/>
      <c r="N238" s="7"/>
    </row>
    <row r="239" spans="1:14" ht="24" customHeight="1">
      <c r="A239" s="6" t="s">
        <v>1240</v>
      </c>
      <c r="B239" s="6" t="s">
        <v>31</v>
      </c>
      <c r="C239" s="6" t="s">
        <v>1241</v>
      </c>
      <c r="D239" s="6" t="s">
        <v>8</v>
      </c>
      <c r="E239" s="6" t="s">
        <v>98</v>
      </c>
      <c r="F239" s="6" t="s">
        <v>1242</v>
      </c>
      <c r="G239" s="6" t="s">
        <v>1243</v>
      </c>
      <c r="H239" s="6" t="s">
        <v>1244</v>
      </c>
      <c r="I239" s="7"/>
      <c r="J239" s="7"/>
      <c r="K239" s="7"/>
      <c r="L239" s="8"/>
      <c r="M239" s="7"/>
      <c r="N239" s="7"/>
    </row>
    <row r="240" spans="1:14" ht="24" customHeight="1">
      <c r="A240" s="6" t="s">
        <v>1245</v>
      </c>
      <c r="B240" s="6" t="s">
        <v>32</v>
      </c>
      <c r="C240" s="6" t="s">
        <v>1246</v>
      </c>
      <c r="D240" s="6" t="s">
        <v>8</v>
      </c>
      <c r="E240" s="6" t="s">
        <v>168</v>
      </c>
      <c r="F240" s="6" t="s">
        <v>1247</v>
      </c>
      <c r="G240" s="6" t="s">
        <v>1248</v>
      </c>
      <c r="H240" s="6" t="s">
        <v>1249</v>
      </c>
      <c r="I240" s="7"/>
      <c r="J240" s="7"/>
      <c r="K240" s="7"/>
      <c r="L240" s="8"/>
      <c r="M240" s="7"/>
      <c r="N240" s="7"/>
    </row>
    <row r="241" spans="1:14" ht="24" customHeight="1">
      <c r="A241" s="6" t="s">
        <v>1250</v>
      </c>
      <c r="B241" s="6" t="s">
        <v>32</v>
      </c>
      <c r="C241" s="6" t="s">
        <v>1251</v>
      </c>
      <c r="D241" s="6" t="s">
        <v>8</v>
      </c>
      <c r="E241" s="6" t="s">
        <v>168</v>
      </c>
      <c r="F241" s="6" t="s">
        <v>1252</v>
      </c>
      <c r="G241" s="6" t="s">
        <v>1253</v>
      </c>
      <c r="H241" s="6" t="s">
        <v>1254</v>
      </c>
      <c r="I241" s="7"/>
      <c r="J241" s="7"/>
      <c r="K241" s="7"/>
      <c r="L241" s="8"/>
      <c r="M241" s="7"/>
      <c r="N241" s="7"/>
    </row>
    <row r="242" spans="1:14" ht="24" customHeight="1">
      <c r="A242" s="6" t="s">
        <v>1255</v>
      </c>
      <c r="B242" s="6" t="s">
        <v>32</v>
      </c>
      <c r="C242" s="6" t="s">
        <v>1256</v>
      </c>
      <c r="D242" s="6" t="s">
        <v>8</v>
      </c>
      <c r="E242" s="6" t="s">
        <v>1257</v>
      </c>
      <c r="F242" s="6" t="s">
        <v>1258</v>
      </c>
      <c r="G242" s="6" t="s">
        <v>1259</v>
      </c>
      <c r="H242" s="6" t="s">
        <v>1260</v>
      </c>
      <c r="I242" s="7"/>
      <c r="J242" s="7"/>
      <c r="K242" s="7"/>
      <c r="L242" s="8"/>
      <c r="M242" s="7"/>
      <c r="N242" s="7"/>
    </row>
    <row r="243" spans="1:14" ht="24" customHeight="1">
      <c r="A243" s="6" t="s">
        <v>1261</v>
      </c>
      <c r="B243" s="6" t="s">
        <v>32</v>
      </c>
      <c r="C243" s="6" t="s">
        <v>1262</v>
      </c>
      <c r="D243" s="6" t="s">
        <v>8</v>
      </c>
      <c r="E243" s="6" t="s">
        <v>1257</v>
      </c>
      <c r="F243" s="6" t="s">
        <v>1263</v>
      </c>
      <c r="G243" s="6" t="s">
        <v>1264</v>
      </c>
      <c r="H243" s="6" t="s">
        <v>1265</v>
      </c>
      <c r="I243" s="7"/>
      <c r="J243" s="7"/>
      <c r="K243" s="7"/>
      <c r="L243" s="8"/>
      <c r="M243" s="7"/>
      <c r="N243" s="7"/>
    </row>
    <row r="244" spans="1:14" ht="24" customHeight="1">
      <c r="A244" s="6" t="s">
        <v>1266</v>
      </c>
      <c r="B244" s="6" t="s">
        <v>32</v>
      </c>
      <c r="C244" s="6" t="s">
        <v>1267</v>
      </c>
      <c r="D244" s="6" t="s">
        <v>8</v>
      </c>
      <c r="E244" s="6" t="s">
        <v>1257</v>
      </c>
      <c r="F244" s="6" t="s">
        <v>1268</v>
      </c>
      <c r="G244" s="6" t="s">
        <v>1269</v>
      </c>
      <c r="H244" s="6" t="s">
        <v>1270</v>
      </c>
      <c r="I244" s="7"/>
      <c r="J244" s="7"/>
      <c r="K244" s="7"/>
      <c r="L244" s="8"/>
      <c r="M244" s="7"/>
      <c r="N244" s="7"/>
    </row>
    <row r="245" spans="1:14" ht="24" customHeight="1">
      <c r="A245" s="6" t="s">
        <v>1271</v>
      </c>
      <c r="B245" s="6" t="s">
        <v>32</v>
      </c>
      <c r="C245" s="6" t="s">
        <v>1272</v>
      </c>
      <c r="D245" s="6" t="s">
        <v>6</v>
      </c>
      <c r="E245" s="6" t="s">
        <v>6</v>
      </c>
      <c r="F245" s="6" t="s">
        <v>1273</v>
      </c>
      <c r="G245" s="6" t="s">
        <v>1274</v>
      </c>
      <c r="H245" s="6" t="s">
        <v>1275</v>
      </c>
      <c r="I245" s="7"/>
      <c r="J245" s="7"/>
      <c r="K245" s="7"/>
      <c r="L245" s="8"/>
      <c r="M245" s="7"/>
      <c r="N245" s="7"/>
    </row>
    <row r="246" spans="1:14" ht="24" customHeight="1">
      <c r="A246" s="6" t="s">
        <v>1276</v>
      </c>
      <c r="B246" s="6" t="s">
        <v>32</v>
      </c>
      <c r="C246" s="6" t="s">
        <v>1277</v>
      </c>
      <c r="D246" s="6" t="s">
        <v>8</v>
      </c>
      <c r="E246" s="6" t="s">
        <v>74</v>
      </c>
      <c r="F246" s="6" t="s">
        <v>1278</v>
      </c>
      <c r="G246" s="6" t="s">
        <v>1279</v>
      </c>
      <c r="H246" s="6" t="s">
        <v>1280</v>
      </c>
      <c r="I246" s="7"/>
      <c r="J246" s="7"/>
      <c r="K246" s="7"/>
      <c r="L246" s="8"/>
      <c r="M246" s="7"/>
      <c r="N246" s="7"/>
    </row>
    <row r="247" spans="1:14" ht="24" customHeight="1">
      <c r="A247" s="6" t="s">
        <v>1281</v>
      </c>
      <c r="B247" s="6" t="s">
        <v>32</v>
      </c>
      <c r="C247" s="6" t="s">
        <v>1282</v>
      </c>
      <c r="D247" s="6" t="s">
        <v>8</v>
      </c>
      <c r="E247" s="6" t="s">
        <v>1283</v>
      </c>
      <c r="F247" s="6" t="s">
        <v>1284</v>
      </c>
      <c r="G247" s="6" t="s">
        <v>1285</v>
      </c>
      <c r="H247" s="6" t="s">
        <v>1286</v>
      </c>
      <c r="I247" s="7"/>
      <c r="J247" s="7"/>
      <c r="K247" s="7"/>
      <c r="L247" s="8"/>
      <c r="M247" s="7"/>
      <c r="N247" s="7"/>
    </row>
    <row r="248" spans="1:14" ht="24" customHeight="1">
      <c r="A248" s="6" t="s">
        <v>1287</v>
      </c>
      <c r="B248" s="6" t="s">
        <v>32</v>
      </c>
      <c r="C248" s="6" t="s">
        <v>1288</v>
      </c>
      <c r="D248" s="6" t="s">
        <v>8</v>
      </c>
      <c r="E248" s="6" t="s">
        <v>86</v>
      </c>
      <c r="F248" s="6" t="s">
        <v>1289</v>
      </c>
      <c r="G248" s="6" t="s">
        <v>1290</v>
      </c>
      <c r="H248" s="6" t="s">
        <v>1291</v>
      </c>
      <c r="I248" s="7"/>
      <c r="J248" s="7"/>
      <c r="K248" s="7"/>
      <c r="L248" s="8"/>
      <c r="M248" s="7"/>
      <c r="N248" s="7"/>
    </row>
    <row r="249" spans="1:14" ht="24" customHeight="1">
      <c r="A249" s="6" t="s">
        <v>1292</v>
      </c>
      <c r="B249" s="6" t="s">
        <v>32</v>
      </c>
      <c r="C249" s="6" t="s">
        <v>1293</v>
      </c>
      <c r="D249" s="6" t="s">
        <v>8</v>
      </c>
      <c r="E249" s="6" t="s">
        <v>86</v>
      </c>
      <c r="F249" s="6" t="s">
        <v>1294</v>
      </c>
      <c r="G249" s="6" t="s">
        <v>1295</v>
      </c>
      <c r="H249" s="6" t="s">
        <v>1296</v>
      </c>
      <c r="I249" s="7"/>
      <c r="J249" s="7"/>
      <c r="K249" s="7"/>
      <c r="L249" s="8"/>
      <c r="M249" s="7"/>
      <c r="N249" s="7"/>
    </row>
    <row r="250" spans="1:14" ht="24" customHeight="1">
      <c r="A250" s="6" t="s">
        <v>1297</v>
      </c>
      <c r="B250" s="6" t="s">
        <v>32</v>
      </c>
      <c r="C250" s="6" t="s">
        <v>1298</v>
      </c>
      <c r="D250" s="6" t="s">
        <v>8</v>
      </c>
      <c r="E250" s="6" t="s">
        <v>86</v>
      </c>
      <c r="F250" s="6" t="s">
        <v>1299</v>
      </c>
      <c r="G250" s="6" t="s">
        <v>1300</v>
      </c>
      <c r="H250" s="6" t="s">
        <v>1301</v>
      </c>
      <c r="I250" s="7"/>
      <c r="J250" s="7"/>
      <c r="K250" s="7"/>
      <c r="L250" s="8"/>
      <c r="M250" s="7"/>
      <c r="N250" s="7"/>
    </row>
    <row r="251" spans="1:14" ht="24" customHeight="1">
      <c r="A251" s="6" t="s">
        <v>1302</v>
      </c>
      <c r="B251" s="6" t="s">
        <v>32</v>
      </c>
      <c r="C251" s="6" t="s">
        <v>1303</v>
      </c>
      <c r="D251" s="6" t="s">
        <v>8</v>
      </c>
      <c r="E251" s="6" t="s">
        <v>68</v>
      </c>
      <c r="F251" s="6" t="s">
        <v>1304</v>
      </c>
      <c r="G251" s="6" t="s">
        <v>1305</v>
      </c>
      <c r="H251" s="6" t="s">
        <v>1306</v>
      </c>
      <c r="I251" s="7"/>
      <c r="J251" s="7"/>
      <c r="K251" s="7"/>
      <c r="L251" s="8"/>
      <c r="M251" s="7"/>
      <c r="N251" s="7"/>
    </row>
    <row r="252" spans="1:14" ht="24" customHeight="1">
      <c r="A252" s="6" t="s">
        <v>1307</v>
      </c>
      <c r="B252" s="6" t="s">
        <v>33</v>
      </c>
      <c r="C252" s="6" t="s">
        <v>1308</v>
      </c>
      <c r="D252" s="6" t="s">
        <v>6</v>
      </c>
      <c r="E252" s="6" t="s">
        <v>1309</v>
      </c>
      <c r="F252" s="6" t="s">
        <v>1310</v>
      </c>
      <c r="G252" s="6" t="s">
        <v>1311</v>
      </c>
      <c r="H252" s="6" t="s">
        <v>1312</v>
      </c>
      <c r="I252" s="7"/>
      <c r="J252" s="7"/>
      <c r="K252" s="7"/>
      <c r="L252" s="8"/>
      <c r="M252" s="7"/>
      <c r="N252" s="7"/>
    </row>
    <row r="253" spans="1:14" ht="24" customHeight="1">
      <c r="A253" s="6" t="s">
        <v>1313</v>
      </c>
      <c r="B253" s="6" t="s">
        <v>33</v>
      </c>
      <c r="C253" s="6" t="s">
        <v>1314</v>
      </c>
      <c r="D253" s="6" t="s">
        <v>6</v>
      </c>
      <c r="E253" s="6" t="s">
        <v>1309</v>
      </c>
      <c r="F253" s="6" t="s">
        <v>1315</v>
      </c>
      <c r="G253" s="6" t="s">
        <v>1316</v>
      </c>
      <c r="H253" s="6" t="s">
        <v>1317</v>
      </c>
      <c r="I253" s="7"/>
      <c r="J253" s="7"/>
      <c r="K253" s="7"/>
      <c r="L253" s="8"/>
      <c r="M253" s="7"/>
      <c r="N253" s="7"/>
    </row>
    <row r="254" spans="1:14" ht="24" customHeight="1">
      <c r="A254" s="6" t="s">
        <v>1318</v>
      </c>
      <c r="B254" s="6" t="s">
        <v>33</v>
      </c>
      <c r="C254" s="6" t="s">
        <v>1319</v>
      </c>
      <c r="D254" s="6" t="s">
        <v>6</v>
      </c>
      <c r="E254" s="6" t="s">
        <v>1309</v>
      </c>
      <c r="F254" s="6" t="s">
        <v>1320</v>
      </c>
      <c r="G254" s="6" t="s">
        <v>1321</v>
      </c>
      <c r="H254" s="6" t="s">
        <v>1322</v>
      </c>
      <c r="I254" s="7"/>
      <c r="J254" s="7"/>
      <c r="K254" s="7"/>
      <c r="L254" s="8"/>
      <c r="M254" s="7"/>
      <c r="N254" s="7"/>
    </row>
    <row r="255" spans="1:14" ht="24" customHeight="1">
      <c r="A255" s="6" t="s">
        <v>1323</v>
      </c>
      <c r="B255" s="6" t="s">
        <v>33</v>
      </c>
      <c r="C255" s="6" t="s">
        <v>1324</v>
      </c>
      <c r="D255" s="6" t="s">
        <v>6</v>
      </c>
      <c r="E255" s="6" t="s">
        <v>1309</v>
      </c>
      <c r="F255" s="6" t="s">
        <v>1325</v>
      </c>
      <c r="G255" s="6" t="s">
        <v>1326</v>
      </c>
      <c r="H255" s="6" t="s">
        <v>1327</v>
      </c>
      <c r="I255" s="7"/>
      <c r="J255" s="7"/>
      <c r="K255" s="7"/>
      <c r="L255" s="8"/>
      <c r="M255" s="7"/>
      <c r="N255" s="7"/>
    </row>
    <row r="256" spans="1:14" ht="24" customHeight="1">
      <c r="A256" s="6" t="s">
        <v>1328</v>
      </c>
      <c r="B256" s="6" t="s">
        <v>33</v>
      </c>
      <c r="C256" s="6" t="s">
        <v>1329</v>
      </c>
      <c r="D256" s="6" t="s">
        <v>6</v>
      </c>
      <c r="E256" s="6" t="s">
        <v>1309</v>
      </c>
      <c r="F256" s="6" t="s">
        <v>1330</v>
      </c>
      <c r="G256" s="6" t="s">
        <v>1331</v>
      </c>
      <c r="H256" s="6" t="s">
        <v>1332</v>
      </c>
      <c r="I256" s="7"/>
      <c r="J256" s="7"/>
      <c r="K256" s="7"/>
      <c r="L256" s="8"/>
      <c r="M256" s="7"/>
      <c r="N256" s="7"/>
    </row>
    <row r="257" spans="1:14" ht="24" customHeight="1">
      <c r="A257" s="6" t="s">
        <v>1333</v>
      </c>
      <c r="B257" s="6" t="s">
        <v>33</v>
      </c>
      <c r="C257" s="6" t="s">
        <v>1334</v>
      </c>
      <c r="D257" s="6" t="s">
        <v>6</v>
      </c>
      <c r="E257" s="6" t="s">
        <v>1335</v>
      </c>
      <c r="F257" s="6" t="s">
        <v>1336</v>
      </c>
      <c r="G257" s="6" t="s">
        <v>1337</v>
      </c>
      <c r="H257" s="6" t="s">
        <v>1338</v>
      </c>
      <c r="I257" s="7"/>
      <c r="J257" s="7"/>
      <c r="K257" s="7"/>
      <c r="L257" s="8"/>
      <c r="M257" s="7"/>
      <c r="N257" s="7"/>
    </row>
    <row r="258" spans="1:14" ht="24.0" customHeight="1">
      <c r="A258" s="6" t="inlineStr">
        <is>
          <t>ORG-013</t>
        </is>
      </c>
      <c r="B258" s="6" t="inlineStr">
        <is>
          <t>Organization and branches</t>
        </is>
      </c>
      <c r="C258" s="6" t="inlineStr">
        <is>
          <t>Pickup cutoff clearing</t>
        </is>
      </c>
      <c r="D258" s="6" t="inlineStr">
        <is>
          <t>Functional</t>
        </is>
      </c>
      <c r="E258" s="6" t="inlineStr">
        <is>
          <t>Functional</t>
        </is>
      </c>
      <c r="F258" s="6" t="inlineStr">
        <is>
          <t>Clear an optional pickup cutoff.</t>
        </is>
      </c>
      <c r="G258" s="6" t="inlineStr">
        <is>
          <t>In Branch operations, save a pickup cutoff, reload, clear it and save again. Reload branch settings.</t>
        </is>
      </c>
      <c r="H258" s="6" t="inlineStr">
        <is>
          <t>The cleared cutoff remains empty; valid hours and other calendar values are retained.</t>
        </is>
      </c>
      <c r="I258" s="7"/>
      <c r="J258" s="7"/>
      <c r="K258" s="7"/>
      <c r="L258" s="8"/>
      <c r="M258" s="7"/>
      <c r="N258" s="7"/>
    </row>
    <row r="259" spans="1:14" ht="36.0" customHeight="1">
      <c r="A259" s="6" t="inlineStr">
        <is>
          <t>ORG-014</t>
        </is>
      </c>
      <c r="B259" s="6" t="inlineStr">
        <is>
          <t>Organization and branches</t>
        </is>
      </c>
      <c r="C259" s="6" t="inlineStr">
        <is>
          <t>Asset category setup</t>
        </is>
      </c>
      <c r="D259" s="6" t="inlineStr">
        <is>
          <t>Functional</t>
        </is>
      </c>
      <c r="E259" s="6" t="inlineStr">
        <is>
          <t>Functional</t>
        </is>
      </c>
      <c r="F259" s="6" t="inlineStr">
        <is>
          <t>Create a service-linked asset category.</t>
        </is>
      </c>
      <c r="G259" s="6" t="inlineStr">
        <is>
          <t>Open Business setup &gt; Asset categories &gt; Add category. Select division, service, unique code/name, asset type and meter; Create and reopen.</t>
        </is>
      </c>
      <c r="H259" s="6" t="inlineStr">
        <is>
          <t>Category persists under the selected division/service with the selected asset and meter types.</t>
        </is>
      </c>
      <c r="I259" s="7"/>
      <c r="J259" s="7"/>
      <c r="K259" s="7"/>
      <c r="L259" s="8"/>
      <c r="M259" s="7"/>
      <c r="N259" s="7"/>
    </row>
    <row r="260" spans="1:14" ht="24.0" customHeight="1">
      <c r="A260" s="6" t="inlineStr">
        <is>
          <t>ORG-015</t>
        </is>
      </c>
      <c r="B260" s="6" t="inlineStr">
        <is>
          <t>Organization and branches</t>
        </is>
      </c>
      <c r="C260" s="6" t="inlineStr">
        <is>
          <t>Category field persistence</t>
        </is>
      </c>
      <c r="D260" s="6" t="inlineStr">
        <is>
          <t>Functional</t>
        </is>
      </c>
      <c r="E260" s="6" t="inlineStr">
        <is>
          <t>Functional</t>
        </is>
      </c>
      <c r="F260" s="6" t="inlineStr">
        <is>
          <t>Save custom asset fields.</t>
        </is>
      </c>
      <c r="G260" s="6" t="inlineStr">
        <is>
          <t>On a test category, Configure fields. Add a unique Text field; set Required, Search and Customer visible. Save fields and reload.</t>
        </is>
      </c>
      <c r="H260" s="6" t="inlineStr">
        <is>
          <t>Field code, type and flags persist; the corresponding asset form uses the definition.</t>
        </is>
      </c>
      <c r="I260" s="7"/>
      <c r="J260" s="7"/>
      <c r="K260" s="7"/>
      <c r="L260" s="8"/>
      <c r="M260" s="7"/>
      <c r="N260" s="7"/>
    </row>
    <row r="261" spans="1:14" ht="24.0" customHeight="1">
      <c r="A261" s="6" t="inlineStr">
        <is>
          <t>ORG-016</t>
        </is>
      </c>
      <c r="B261" s="6" t="inlineStr">
        <is>
          <t>Organization and branches</t>
        </is>
      </c>
      <c r="C261" s="6" t="inlineStr">
        <is>
          <t>Used-field protection</t>
        </is>
      </c>
      <c r="D261" s="6" t="inlineStr">
        <is>
          <t>Functional</t>
        </is>
      </c>
      <c r="E261" s="6" t="inlineStr">
        <is>
          <t>Negative</t>
        </is>
      </c>
      <c r="F261" s="6" t="inlineStr">
        <is>
          <t>Protect existing asset values from destructive schema changes.</t>
        </is>
      </c>
      <c r="G261" s="6" t="inlineStr">
        <is>
          <t>Populate a custom field on a test asset. Attempt to remove or change that field type in category configuration. Reload the asset.</t>
        </is>
      </c>
      <c r="H261" s="6" t="inlineStr">
        <is>
          <t>Unsafe removal/type changes are rejected; the existing definition and asset value are retained.</t>
        </is>
      </c>
      <c r="I261" s="7"/>
      <c r="J261" s="7"/>
      <c r="K261" s="7"/>
      <c r="L261" s="8"/>
      <c r="M261" s="7"/>
      <c r="N261" s="7"/>
    </row>
    <row r="262" spans="1:14" ht="36.0" customHeight="1">
      <c r="A262" s="6" t="inlineStr">
        <is>
          <t>ORG-017</t>
        </is>
      </c>
      <c r="B262" s="6" t="inlineStr">
        <is>
          <t>Organization and branches</t>
        </is>
      </c>
      <c r="C262" s="6" t="inlineStr">
        <is>
          <t>Guided setup repeat save</t>
        </is>
      </c>
      <c r="D262" s="6" t="inlineStr">
        <is>
          <t>Functional</t>
        </is>
      </c>
      <c r="E262" s="6" t="inlineStr">
        <is>
          <t>Functional</t>
        </is>
      </c>
      <c r="F262" s="6" t="inlineStr">
        <is>
          <t>Avoid duplicates when editing guided setup.</t>
        </is>
      </c>
      <c r="G262" s="6" t="inlineStr">
        <is>
          <t>Configure an existing test division with service, category, fields and inspection templates. Save; reopen, change only its description and save again.</t>
        </is>
      </c>
      <c r="H262" s="6" t="inlineStr">
        <is>
          <t>Related records remain stable with no duplicated services, fields, templates or branch mappings.</t>
        </is>
      </c>
      <c r="I262" s="7"/>
      <c r="J262" s="7"/>
      <c r="K262" s="7"/>
      <c r="L262" s="8"/>
      <c r="M262" s="7"/>
      <c r="N262" s="7"/>
    </row>
    <row r="263" spans="1:14" ht="36.0" customHeight="1">
      <c r="A263" s="6" t="inlineStr">
        <is>
          <t>ORG-018</t>
        </is>
      </c>
      <c r="B263" s="6" t="inlineStr">
        <is>
          <t>Organization and branches</t>
        </is>
      </c>
      <c r="C263" s="6" t="inlineStr">
        <is>
          <t>Stale configuration</t>
        </is>
      </c>
      <c r="D263" s="6" t="inlineStr">
        <is>
          <t>Functional</t>
        </is>
      </c>
      <c r="E263" s="6" t="inlineStr">
        <is>
          <t>Negative</t>
        </is>
      </c>
      <c r="F263" s="6" t="inlineStr">
        <is>
          <t>Prevent stale guided setup from overwriting another change.</t>
        </is>
      </c>
      <c r="G263" s="6" t="inlineStr">
        <is>
          <t>Open Configure division. Have a second authorized administrator change the same setup and save. Save the first stale form, then reopen it.</t>
        </is>
      </c>
      <c r="H263" s="6" t="inlineStr">
        <is>
          <t>Stale save is rejected with a reload/reopen message; the second administrator’s changes remain.</t>
        </is>
      </c>
      <c r="I263" s="7"/>
      <c r="J263" s="7"/>
      <c r="K263" s="7"/>
      <c r="L263" s="8"/>
      <c r="M263" s="7"/>
      <c r="N263" s="7"/>
    </row>
    <row r="264" spans="1:14" ht="36.0" customHeight="1">
      <c r="A264" s="6" t="inlineStr">
        <is>
          <t>ORG-019</t>
        </is>
      </c>
      <c r="B264" s="6" t="inlineStr">
        <is>
          <t>Organization and branches</t>
        </is>
      </c>
      <c r="C264" s="6" t="inlineStr">
        <is>
          <t>Booking policy persistence</t>
        </is>
      </c>
      <c r="D264" s="6" t="inlineStr">
        <is>
          <t>Functional</t>
        </is>
      </c>
      <c r="E264" s="6" t="inlineStr">
        <is>
          <t>Functional</t>
        </is>
      </c>
      <c r="F264" s="6" t="inlineStr">
        <is>
          <t>Save division booking policy and preserve it during basic edits.</t>
        </is>
      </c>
      <c r="G264" s="6" t="inlineStr">
        <is>
          <t>In Booking &amp; pricing &gt; Booking &amp; quotations, configure a test division and save. Change only division description in Details &amp; status; reopen booking policy.</t>
        </is>
      </c>
      <c r="H264" s="6" t="inlineStr">
        <is>
          <t>Saved booking policy and financial defaults remain unchanged by the description edit.</t>
        </is>
      </c>
      <c r="I264" s="7"/>
      <c r="J264" s="7"/>
      <c r="K264" s="7"/>
      <c r="L264" s="8"/>
      <c r="M264" s="7"/>
      <c r="N264" s="7"/>
    </row>
    <row r="265" spans="1:14" ht="36.0" customHeight="1">
      <c r="A265" s="6" t="inlineStr">
        <is>
          <t>ORG-020</t>
        </is>
      </c>
      <c r="B265" s="6" t="inlineStr">
        <is>
          <t>Organization and branches</t>
        </is>
      </c>
      <c r="C265" s="6" t="inlineStr">
        <is>
          <t>Branch configuration isolation</t>
        </is>
      </c>
      <c r="D265" s="6" t="inlineStr">
        <is>
          <t>Functional</t>
        </is>
      </c>
      <c r="E265" s="6" t="inlineStr">
        <is>
          <t>Authorization</t>
        </is>
      </c>
      <c r="F265" s="6" t="inlineStr">
        <is>
          <t>Verify permitted branch/category edits remain scoped.</t>
        </is>
      </c>
      <c r="G265" s="6" t="inlineStr">
        <is>
          <t>As staff with configuration permission for Branch A/Division A, edit permitted configuration. Attempt direct access/write to Branch B and category fields in Division B.</t>
        </is>
      </c>
      <c r="H265" s="6" t="inlineStr">
        <is>
          <t>Authorized edits persist. Cross-scope reads/writes are rejected and unrelated configuration remains unchanged.</t>
        </is>
      </c>
      <c r="I265" s="7"/>
      <c r="J265" s="7"/>
      <c r="K265" s="7"/>
      <c r="L265" s="8"/>
      <c r="M265" s="7"/>
      <c r="N265" s="7"/>
    </row>
    <row r="266" spans="1:14" ht="36.0" customHeight="1">
      <c r="A266" s="6" t="inlineStr">
        <is>
          <t>ADMIN-013</t>
        </is>
      </c>
      <c r="B266" s="6" t="inlineStr">
        <is>
          <t>Configuration and administration</t>
        </is>
      </c>
      <c r="C266" s="6" t="inlineStr">
        <is>
          <t>Global VAT propagation</t>
        </is>
      </c>
      <c r="D266" s="6" t="inlineStr">
        <is>
          <t>Functional</t>
        </is>
      </c>
      <c r="E266" s="6" t="inlineStr">
        <is>
          <t>Functional</t>
        </is>
      </c>
      <c r="F266" s="6" t="inlineStr">
        <is>
          <t>Apply global VAT to new requests while preserving history.</t>
        </is>
      </c>
      <c r="G266" s="6" t="inlineStr">
        <is>
          <t>In a test environment, record division VAT and an existing booking/invoice. In Rental defaults set VAT to 10; Save &amp; apply to all divisions. Inspect division rates and a new request; restore originals.</t>
        </is>
      </c>
      <c r="H266" s="6" t="inlineStr">
        <is>
          <t>All division defaults update; new calculations use the changed rate. Existing booking/invoice agreed rates and totals remain unchanged.</t>
        </is>
      </c>
      <c r="I266" s="7"/>
      <c r="J266" s="7"/>
      <c r="K266" s="7"/>
      <c r="L266" s="8"/>
      <c r="M266" s="7"/>
      <c r="N266" s="7"/>
    </row>
    <row r="267" spans="1:14" ht="24.0" customHeight="1">
      <c r="A267" s="6" t="inlineStr">
        <is>
          <t>ADMIN-014</t>
        </is>
      </c>
      <c r="B267" s="6" t="inlineStr">
        <is>
          <t>Configuration and administration</t>
        </is>
      </c>
      <c r="C267" s="6" t="inlineStr">
        <is>
          <t>VAT validation</t>
        </is>
      </c>
      <c r="D267" s="6" t="inlineStr">
        <is>
          <t>Functional</t>
        </is>
      </c>
      <c r="E267" s="6" t="inlineStr">
        <is>
          <t>Negative</t>
        </is>
      </c>
      <c r="F267" s="6" t="inlineStr">
        <is>
          <t>Reject VAT outside the supported range.</t>
        </is>
      </c>
      <c r="G267" s="6" t="inlineStr">
        <is>
          <t>In Rental defaults attempt VAT -1 and 101. Reload after each attempt and compare with the original saved rate.</t>
        </is>
      </c>
      <c r="H267" s="6" t="inlineStr">
        <is>
          <t>Invalid values are rejected; no division or global VAT is partially changed.</t>
        </is>
      </c>
      <c r="I267" s="7"/>
      <c r="J267" s="7"/>
      <c r="K267" s="7"/>
      <c r="L267" s="8"/>
      <c r="M267" s="7"/>
      <c r="N267" s="7"/>
    </row>
    <row r="268" spans="1:14" ht="36.0" customHeight="1">
      <c r="A268" s="6" t="inlineStr">
        <is>
          <t>ADMIN-015</t>
        </is>
      </c>
      <c r="B268" s="6" t="inlineStr">
        <is>
          <t>Configuration and administration</t>
        </is>
      </c>
      <c r="C268" s="6" t="inlineStr">
        <is>
          <t>Reference prefixes</t>
        </is>
      </c>
      <c r="D268" s="6" t="inlineStr">
        <is>
          <t>Functional</t>
        </is>
      </c>
      <c r="E268" s="6" t="inlineStr">
        <is>
          <t>Functional</t>
        </is>
      </c>
      <c r="F268" s="6" t="inlineStr">
        <is>
          <t>Apply a prefix only to new references.</t>
        </is>
      </c>
      <c r="G268" s="6" t="inlineStr">
        <is>
          <t>Record an existing booking/agreement reference. Save booking prefix hire in Rental defaults. Create a new test booking; reload settings and restore the original prefix.</t>
        </is>
      </c>
      <c r="H268" s="6" t="inlineStr">
        <is>
          <t>Prefix is saved as HIRE; the new reference is unique and uses it. Existing references remain unchanged.</t>
        </is>
      </c>
      <c r="I268" s="7"/>
      <c r="J268" s="7"/>
      <c r="K268" s="7"/>
      <c r="L268" s="8"/>
      <c r="M268" s="7"/>
      <c r="N268" s="7"/>
    </row>
    <row r="269" spans="1:14" ht="24.0" customHeight="1">
      <c r="A269" s="6" t="inlineStr">
        <is>
          <t>ADMIN-016</t>
        </is>
      </c>
      <c r="B269" s="6" t="inlineStr">
        <is>
          <t>Configuration and administration</t>
        </is>
      </c>
      <c r="C269" s="6" t="inlineStr">
        <is>
          <t>Setting boundaries</t>
        </is>
      </c>
      <c r="D269" s="6" t="inlineStr">
        <is>
          <t>Functional</t>
        </is>
      </c>
      <c r="E269" s="6" t="inlineStr">
        <is>
          <t>Negative</t>
        </is>
      </c>
      <c r="F269" s="6" t="inlineStr">
        <is>
          <t>Validate global numeric and prefix settings.</t>
        </is>
      </c>
      <c r="G269" s="6" t="inlineStr">
        <is>
          <t>In Rental defaults try prefix A/B, lockout minutes 1441, failed attempts 0, retention years 7.5 and late multiplier 11. Save individually; reload.</t>
        </is>
      </c>
      <c r="H269" s="6" t="inlineStr">
        <is>
          <t>Each invalid value is rejected with an explanation; the last valid setting remains stored.</t>
        </is>
      </c>
      <c r="I269" s="7"/>
      <c r="J269" s="7"/>
      <c r="K269" s="7"/>
      <c r="L269" s="8"/>
      <c r="M269" s="7"/>
      <c r="N269" s="7"/>
    </row>
    <row r="270" spans="1:14" ht="36.0" customHeight="1">
      <c r="A270" s="6" t="inlineStr">
        <is>
          <t>ADMIN-017</t>
        </is>
      </c>
      <c r="B270" s="6" t="inlineStr">
        <is>
          <t>Configuration and administration</t>
        </is>
      </c>
      <c r="C270" s="6" t="inlineStr">
        <is>
          <t>Lockout settings</t>
        </is>
      </c>
      <c r="D270" s="6" t="inlineStr">
        <is>
          <t>Functional</t>
        </is>
      </c>
      <c r="E270" s="6" t="inlineStr">
        <is>
          <t>Functional</t>
        </is>
      </c>
      <c r="F270" s="6" t="inlineStr">
        <is>
          <t>Apply saved lockout policy to a test identity.</t>
        </is>
      </c>
      <c r="G270" s="6" t="inlineStr">
        <is>
          <t>Record existing settings; set failed attempts to 3 and lockout duration to 1 minute. With a disposable staff account, enter a wrong password three times, then the correct one. Restore settings after testing.</t>
        </is>
      </c>
      <c r="H270" s="6" t="inlineStr">
        <is>
          <t>The test account is locked after the configured failures and cannot log in during lockout; unrelated roles/scopes remain unchanged.</t>
        </is>
      </c>
      <c r="I270" s="7"/>
      <c r="J270" s="7"/>
      <c r="K270" s="7"/>
      <c r="L270" s="8"/>
      <c r="M270" s="7"/>
      <c r="N270" s="7"/>
    </row>
    <row r="271" spans="1:14" ht="36.0" customHeight="1">
      <c r="A271" s="6" t="inlineStr">
        <is>
          <t>ADMIN-018</t>
        </is>
      </c>
      <c r="B271" s="6" t="inlineStr">
        <is>
          <t>Configuration and administration</t>
        </is>
      </c>
      <c r="C271" s="6" t="inlineStr">
        <is>
          <t>Retention review</t>
        </is>
      </c>
      <c r="D271" s="6" t="inlineStr">
        <is>
          <t>Functional</t>
        </is>
      </c>
      <c r="E271" s="6" t="inlineStr">
        <is>
          <t>Functional</t>
        </is>
      </c>
      <c r="F271" s="6" t="inlineStr">
        <is>
          <t>Review old closed records without deleting history.</t>
        </is>
      </c>
      <c r="G271" s="6" t="inlineStr">
        <is>
          <t>Set a valid retention review age. Open its review with old closed and recent/active test records; inspect pages and reopen source records. Restore the original value.</t>
        </is>
      </c>
      <c r="H271" s="6" t="inlineStr">
        <is>
          <t>Only eligible old closed records are flagged. Active/recent records are excluded; reviewing never deletes records.</t>
        </is>
      </c>
      <c r="I271" s="7"/>
      <c r="J271" s="7"/>
      <c r="K271" s="7"/>
      <c r="L271" s="8"/>
      <c r="M271" s="7"/>
      <c r="N271" s="7"/>
    </row>
    <row r="272" spans="1:14" ht="36.0" customHeight="1">
      <c r="A272" s="6" t="inlineStr">
        <is>
          <t>ADMIN-019</t>
        </is>
      </c>
      <c r="B272" s="6" t="inlineStr">
        <is>
          <t>Configuration and administration</t>
        </is>
      </c>
      <c r="C272" s="6" t="inlineStr">
        <is>
          <t>Bond configuration location</t>
        </is>
      </c>
      <c r="D272" s="6" t="inlineStr">
        <is>
          <t>Functional</t>
        </is>
      </c>
      <c r="E272" s="6" t="inlineStr">
        <is>
          <t>Functional</t>
        </is>
      </c>
      <c r="F272" s="6" t="inlineStr">
        <is>
          <t>Verify bond policy is configured in its current location.</t>
        </is>
      </c>
      <c r="G272" s="6" t="inlineStr">
        <is>
          <t>Open Rental defaults and follow the bond guidance to Booking &amp; pricing &gt; Booking &amp; quotations. Set a test division bond; check a new request and an asset override. Restore originals.</t>
        </is>
      </c>
      <c r="H272" s="6" t="inlineStr">
        <is>
          <t>Retired global bond is not editable in Rental defaults. New requests use division policy or the applicable asset override.</t>
        </is>
      </c>
      <c r="I272" s="7"/>
      <c r="J272" s="7"/>
      <c r="K272" s="7"/>
      <c r="L272" s="8"/>
      <c r="M272" s="7"/>
      <c r="N272" s="7"/>
    </row>
    <row r="273" spans="1:14" ht="24.0" customHeight="1">
      <c r="A273" s="6" t="inlineStr">
        <is>
          <t>ADMIN-020</t>
        </is>
      </c>
      <c r="B273" s="6" t="inlineStr">
        <is>
          <t>Configuration and administration</t>
        </is>
      </c>
      <c r="C273" s="6" t="inlineStr">
        <is>
          <t>Settings reload and cancel</t>
        </is>
      </c>
      <c r="D273" s="6" t="inlineStr">
        <is>
          <t>Functional</t>
        </is>
      </c>
      <c r="E273" s="6" t="inlineStr">
        <is>
          <t>Functional</t>
        </is>
      </c>
      <c r="F273" s="6" t="inlineStr">
        <is>
          <t>Distinguish saved settings from unsaved edits.</t>
        </is>
      </c>
      <c r="G273" s="6" t="inlineStr">
        <is>
          <t>In Rental defaults, save one valid prefix change and reload. Edit another value without saving and reload. Restore the saved prefix.</t>
        </is>
      </c>
      <c r="H273" s="6" t="inlineStr">
        <is>
          <t>Saved change persists; unsaved edit is not stored; unrelated settings remain unchanged.</t>
        </is>
      </c>
      <c r="I273" s="7"/>
      <c r="J273" s="7"/>
      <c r="K273" s="7"/>
      <c r="L273" s="8"/>
      <c r="M273" s="7"/>
      <c r="N273" s="7"/>
    </row>
  </sheetData>
  <mergeCells count="3">
    <mergeCell ref="A1:N1"/>
    <mergeCell ref="A2:N2"/>
    <mergeCell ref="A3:N3"/>
  </mergeCells>
  <dataValidations count="1">
    <dataValidation type="list" sqref="I6:I273" ns2:uid="{00000000-0002-0000-0100-000000000000}">
      <formula1>"Pass,Fail"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2026-10-21T01:57:03Z</dcterms:created>
  <dcterms:modified xsi:type="dcterms:W3CDTF">2026-10-22T03:28:41Z</dcterms:modified>
  <cp:category/>
  <cp:contentStatus/>
</cp:coreProperties>
</file>